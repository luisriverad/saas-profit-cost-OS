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lalio Hernandez\Desktop\ehl\"/>
    </mc:Choice>
  </mc:AlternateContent>
  <xr:revisionPtr revIDLastSave="0" documentId="13_ncr:1_{8E2D3908-A119-432D-8CD8-674BCB963AF9}" xr6:coauthVersionLast="47" xr6:coauthVersionMax="47" xr10:uidLastSave="{00000000-0000-0000-0000-000000000000}"/>
  <bookViews>
    <workbookView xWindow="-110" yWindow="-110" windowWidth="19420" windowHeight="10300" xr2:uid="{E349E3A8-2B84-447A-8A6A-F5B65CCF2523}"/>
  </bookViews>
  <sheets>
    <sheet name="INGENIERIA" sheetId="1" r:id="rId1"/>
    <sheet name="COMPRAS" sheetId="2" r:id="rId2"/>
    <sheet name="REC HUMANOS" sheetId="3" r:id="rId3"/>
    <sheet name="CONTABILIDAD &amp; COSTOS" sheetId="4" r:id="rId4"/>
    <sheet name="COSTOS (Calculo)" sheetId="5" r:id="rId5"/>
    <sheet name="CUOTA x MIN (Calculo)" sheetId="8" r:id="rId6"/>
    <sheet name="HOJAS COSTEO (calculo)" sheetId="9" r:id="rId7"/>
    <sheet name="VALUACION PROD (Calculo)" sheetId="11" r:id="rId8"/>
    <sheet name="VENTAS" sheetId="7" r:id="rId9"/>
    <sheet name="P&amp;L FCTS" sheetId="10" r:id="rId10"/>
    <sheet name="PROD REAL" sheetId="12" r:id="rId11"/>
    <sheet name="VENTA REAL" sheetId="14" r:id="rId12"/>
    <sheet name="P&amp;L REAL" sheetId="13" r:id="rId13"/>
    <sheet name="Hoja6" sheetId="6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5" i="12" l="1"/>
  <c r="J4" i="7"/>
  <c r="I15" i="9"/>
  <c r="F53" i="9"/>
  <c r="F52" i="9"/>
  <c r="F51" i="9"/>
  <c r="F35" i="9"/>
  <c r="F34" i="9"/>
  <c r="F33" i="9"/>
  <c r="F17" i="9"/>
  <c r="F16" i="9"/>
  <c r="F15" i="9"/>
  <c r="G234" i="5"/>
  <c r="G4" i="3"/>
  <c r="L6" i="14"/>
  <c r="M6" i="14" s="1"/>
  <c r="L5" i="14"/>
  <c r="M5" i="14" s="1"/>
  <c r="L4" i="14"/>
  <c r="M4" i="14" s="1"/>
  <c r="G337" i="5"/>
  <c r="D7" i="14"/>
  <c r="I28" i="2"/>
  <c r="I27" i="2"/>
  <c r="I26" i="2"/>
  <c r="I25" i="2"/>
  <c r="I24" i="2"/>
  <c r="I23" i="2"/>
  <c r="I22" i="2"/>
  <c r="I21" i="2"/>
  <c r="I20" i="2"/>
  <c r="I19" i="2"/>
  <c r="G28" i="2"/>
  <c r="G27" i="2"/>
  <c r="G26" i="2"/>
  <c r="G25" i="2"/>
  <c r="G24" i="2"/>
  <c r="G23" i="2"/>
  <c r="G22" i="2"/>
  <c r="G21" i="2"/>
  <c r="G20" i="2"/>
  <c r="G19" i="2"/>
  <c r="D85" i="12"/>
  <c r="G52" i="12"/>
  <c r="G51" i="12"/>
  <c r="G50" i="12"/>
  <c r="G49" i="12"/>
  <c r="G48" i="12"/>
  <c r="G47" i="12"/>
  <c r="G46" i="12"/>
  <c r="G45" i="12"/>
  <c r="G44" i="12"/>
  <c r="G43" i="12"/>
  <c r="G37" i="12"/>
  <c r="G36" i="12"/>
  <c r="G35" i="12"/>
  <c r="G34" i="12"/>
  <c r="G33" i="12"/>
  <c r="G32" i="12"/>
  <c r="G31" i="12"/>
  <c r="G30" i="12"/>
  <c r="G29" i="12"/>
  <c r="G28" i="12"/>
  <c r="G22" i="12"/>
  <c r="G21" i="12"/>
  <c r="G20" i="12"/>
  <c r="G19" i="12"/>
  <c r="G18" i="12"/>
  <c r="G17" i="12"/>
  <c r="G16" i="12"/>
  <c r="G15" i="12"/>
  <c r="G14" i="12"/>
  <c r="G13" i="12"/>
  <c r="F52" i="12"/>
  <c r="F51" i="12"/>
  <c r="F37" i="12"/>
  <c r="F36" i="12"/>
  <c r="F25" i="12"/>
  <c r="F24" i="12"/>
  <c r="F23" i="12"/>
  <c r="F22" i="12"/>
  <c r="F69" i="12" s="1"/>
  <c r="E28" i="2" s="1"/>
  <c r="F21" i="12"/>
  <c r="F68" i="12" s="1"/>
  <c r="E27" i="2" s="1"/>
  <c r="F20" i="12"/>
  <c r="F19" i="12"/>
  <c r="F18" i="12"/>
  <c r="F17" i="12"/>
  <c r="F16" i="12"/>
  <c r="F15" i="12"/>
  <c r="F14" i="12"/>
  <c r="F13" i="12"/>
  <c r="M7" i="14" l="1"/>
  <c r="L7" i="14"/>
  <c r="K27" i="2"/>
  <c r="L27" i="2"/>
  <c r="M27" i="2" s="1"/>
  <c r="L28" i="2"/>
  <c r="K28" i="2"/>
  <c r="M28" i="2" s="1"/>
  <c r="H14" i="12"/>
  <c r="H22" i="12"/>
  <c r="H16" i="12"/>
  <c r="H17" i="12"/>
  <c r="H18" i="12"/>
  <c r="H13" i="12"/>
  <c r="H21" i="12"/>
  <c r="H20" i="12"/>
  <c r="H15" i="12"/>
  <c r="H19" i="12"/>
  <c r="H52" i="12"/>
  <c r="H51" i="12"/>
  <c r="H36" i="12"/>
  <c r="H37" i="12"/>
  <c r="H69" i="12" l="1"/>
  <c r="I69" i="12" s="1"/>
  <c r="J69" i="12" s="1"/>
  <c r="H68" i="12"/>
  <c r="I68" i="12" s="1"/>
  <c r="J68" i="12" s="1"/>
  <c r="D7" i="12" l="1"/>
  <c r="J9" i="11"/>
  <c r="E9" i="11"/>
  <c r="E8" i="11"/>
  <c r="P7" i="11"/>
  <c r="E7" i="11"/>
  <c r="M14" i="7"/>
  <c r="D14" i="7"/>
  <c r="D13" i="7"/>
  <c r="D15" i="7" s="1"/>
  <c r="D12" i="7"/>
  <c r="F50" i="9"/>
  <c r="F49" i="9"/>
  <c r="G50" i="9"/>
  <c r="G49" i="9"/>
  <c r="G48" i="9"/>
  <c r="G47" i="9"/>
  <c r="G46" i="9"/>
  <c r="G45" i="9"/>
  <c r="G44" i="9"/>
  <c r="G43" i="9"/>
  <c r="G42" i="9"/>
  <c r="G41" i="9"/>
  <c r="F32" i="9"/>
  <c r="F31" i="9"/>
  <c r="G32" i="9"/>
  <c r="G31" i="9"/>
  <c r="G30" i="9"/>
  <c r="G29" i="9"/>
  <c r="G28" i="9"/>
  <c r="G27" i="9"/>
  <c r="G26" i="9"/>
  <c r="G25" i="9"/>
  <c r="G24" i="9"/>
  <c r="G23" i="9"/>
  <c r="G14" i="9"/>
  <c r="H14" i="9" s="1"/>
  <c r="L14" i="9" s="1"/>
  <c r="G13" i="9"/>
  <c r="H13" i="9" s="1"/>
  <c r="L13" i="9" s="1"/>
  <c r="G12" i="9"/>
  <c r="H12" i="9" s="1"/>
  <c r="L12" i="9" s="1"/>
  <c r="G11" i="9"/>
  <c r="H11" i="9" s="1"/>
  <c r="L11" i="9" s="1"/>
  <c r="G10" i="9"/>
  <c r="H10" i="9" s="1"/>
  <c r="L10" i="9" s="1"/>
  <c r="G9" i="9"/>
  <c r="H9" i="9" s="1"/>
  <c r="L9" i="9" s="1"/>
  <c r="G8" i="9"/>
  <c r="H8" i="9" s="1"/>
  <c r="L8" i="9" s="1"/>
  <c r="G7" i="9"/>
  <c r="H7" i="9" s="1"/>
  <c r="L7" i="9" s="1"/>
  <c r="G6" i="9"/>
  <c r="H6" i="9" s="1"/>
  <c r="L6" i="9" s="1"/>
  <c r="G5" i="9"/>
  <c r="H5" i="9" s="1"/>
  <c r="B17" i="8"/>
  <c r="Q76" i="1"/>
  <c r="F76" i="1"/>
  <c r="F75" i="1"/>
  <c r="F74" i="1"/>
  <c r="F46" i="1"/>
  <c r="F55" i="12" s="1"/>
  <c r="F45" i="1"/>
  <c r="F44" i="1"/>
  <c r="F53" i="12" s="1"/>
  <c r="F31" i="1"/>
  <c r="F30" i="1"/>
  <c r="F39" i="12" s="1"/>
  <c r="F29" i="1"/>
  <c r="F38" i="12" s="1"/>
  <c r="G43" i="1"/>
  <c r="H43" i="1" s="1"/>
  <c r="G42" i="1"/>
  <c r="H42" i="1" s="1"/>
  <c r="G41" i="1"/>
  <c r="G40" i="1"/>
  <c r="G39" i="1"/>
  <c r="G38" i="1"/>
  <c r="G37" i="1"/>
  <c r="G36" i="1"/>
  <c r="G35" i="1"/>
  <c r="G34" i="1"/>
  <c r="G28" i="1"/>
  <c r="H28" i="1" s="1"/>
  <c r="G27" i="1"/>
  <c r="T87" i="1" s="1"/>
  <c r="G26" i="1"/>
  <c r="T86" i="1" s="1"/>
  <c r="G25" i="1"/>
  <c r="G24" i="1"/>
  <c r="G23" i="1"/>
  <c r="T83" i="1" s="1"/>
  <c r="G22" i="1"/>
  <c r="G21" i="1"/>
  <c r="G20" i="1"/>
  <c r="G19" i="1"/>
  <c r="T79" i="1" s="1"/>
  <c r="G13" i="1"/>
  <c r="H13" i="1" s="1"/>
  <c r="G12" i="1"/>
  <c r="H12" i="1" s="1"/>
  <c r="G11" i="1"/>
  <c r="H11" i="1" s="1"/>
  <c r="G10" i="1"/>
  <c r="H10" i="1" s="1"/>
  <c r="G9" i="1"/>
  <c r="T69" i="1" s="1"/>
  <c r="G8" i="1"/>
  <c r="H8" i="1" s="1"/>
  <c r="G7" i="1"/>
  <c r="H7" i="1" s="1"/>
  <c r="G6" i="1"/>
  <c r="H6" i="1" s="1"/>
  <c r="G5" i="1"/>
  <c r="T65" i="1" s="1"/>
  <c r="G4" i="1"/>
  <c r="H4" i="1" s="1"/>
  <c r="F103" i="1"/>
  <c r="F102" i="1"/>
  <c r="F88" i="1"/>
  <c r="F87" i="1"/>
  <c r="F73" i="1"/>
  <c r="F72" i="1"/>
  <c r="F71" i="1"/>
  <c r="F70" i="1"/>
  <c r="F69" i="1"/>
  <c r="F68" i="1"/>
  <c r="F67" i="1"/>
  <c r="F66" i="1"/>
  <c r="F65" i="1"/>
  <c r="F64" i="1"/>
  <c r="Q58" i="1"/>
  <c r="Q103" i="1" s="1"/>
  <c r="P58" i="1"/>
  <c r="P102" i="1" s="1"/>
  <c r="O58" i="1"/>
  <c r="O102" i="1" s="1"/>
  <c r="N58" i="1"/>
  <c r="N102" i="1" s="1"/>
  <c r="M58" i="1"/>
  <c r="M102" i="1" s="1"/>
  <c r="L58" i="1"/>
  <c r="L103" i="1" s="1"/>
  <c r="K58" i="1"/>
  <c r="K103" i="1" s="1"/>
  <c r="J58" i="1"/>
  <c r="J103" i="1" s="1"/>
  <c r="I58" i="1"/>
  <c r="I103" i="1" s="1"/>
  <c r="H58" i="1"/>
  <c r="H102" i="1" s="1"/>
  <c r="Q57" i="1"/>
  <c r="Q88" i="1" s="1"/>
  <c r="P57" i="1"/>
  <c r="P88" i="1" s="1"/>
  <c r="O57" i="1"/>
  <c r="O88" i="1" s="1"/>
  <c r="N57" i="1"/>
  <c r="N87" i="1" s="1"/>
  <c r="M57" i="1"/>
  <c r="M88" i="1" s="1"/>
  <c r="L57" i="1"/>
  <c r="L87" i="1" s="1"/>
  <c r="K57" i="1"/>
  <c r="K87" i="1" s="1"/>
  <c r="J57" i="1"/>
  <c r="J88" i="1" s="1"/>
  <c r="I57" i="1"/>
  <c r="I87" i="1" s="1"/>
  <c r="H57" i="1"/>
  <c r="H88" i="1" s="1"/>
  <c r="Q56" i="1"/>
  <c r="O12" i="7" s="1"/>
  <c r="P56" i="1"/>
  <c r="N12" i="7" s="1"/>
  <c r="O56" i="1"/>
  <c r="O76" i="1" s="1"/>
  <c r="N56" i="1"/>
  <c r="N76" i="1" s="1"/>
  <c r="M56" i="1"/>
  <c r="M66" i="1" s="1"/>
  <c r="L56" i="1"/>
  <c r="L76" i="1" s="1"/>
  <c r="K56" i="1"/>
  <c r="K75" i="1" s="1"/>
  <c r="J56" i="1"/>
  <c r="J75" i="1" s="1"/>
  <c r="I56" i="1"/>
  <c r="G12" i="7" s="1"/>
  <c r="H56" i="1"/>
  <c r="H74" i="1" s="1"/>
  <c r="G58" i="1"/>
  <c r="G102" i="1" s="1"/>
  <c r="G57" i="1"/>
  <c r="G87" i="1" s="1"/>
  <c r="G56" i="1"/>
  <c r="G76" i="1" s="1"/>
  <c r="R54" i="1"/>
  <c r="F59" i="1"/>
  <c r="F51" i="1"/>
  <c r="F41" i="1"/>
  <c r="F50" i="12" s="1"/>
  <c r="H50" i="12" s="1"/>
  <c r="F40" i="1"/>
  <c r="F39" i="1"/>
  <c r="F38" i="1"/>
  <c r="F37" i="1"/>
  <c r="F36" i="1"/>
  <c r="F35" i="1"/>
  <c r="F34" i="1"/>
  <c r="F26" i="1"/>
  <c r="F25" i="1"/>
  <c r="F24" i="1"/>
  <c r="F23" i="1"/>
  <c r="F22" i="1"/>
  <c r="F21" i="1"/>
  <c r="F20" i="1"/>
  <c r="F19" i="1"/>
  <c r="D13" i="8"/>
  <c r="B12" i="8"/>
  <c r="D8" i="8"/>
  <c r="B7" i="8"/>
  <c r="D3" i="8"/>
  <c r="D18" i="8" s="1"/>
  <c r="R311" i="5"/>
  <c r="Q311" i="5"/>
  <c r="P311" i="5"/>
  <c r="O311" i="5"/>
  <c r="N311" i="5"/>
  <c r="M311" i="5"/>
  <c r="L311" i="5"/>
  <c r="K311" i="5"/>
  <c r="J311" i="5"/>
  <c r="I311" i="5"/>
  <c r="H311" i="5"/>
  <c r="G311" i="5"/>
  <c r="R310" i="5"/>
  <c r="Q310" i="5"/>
  <c r="P310" i="5"/>
  <c r="O310" i="5"/>
  <c r="N310" i="5"/>
  <c r="M310" i="5"/>
  <c r="L310" i="5"/>
  <c r="K310" i="5"/>
  <c r="J310" i="5"/>
  <c r="I310" i="5"/>
  <c r="H310" i="5"/>
  <c r="G310" i="5"/>
  <c r="R308" i="5"/>
  <c r="Q308" i="5"/>
  <c r="P308" i="5"/>
  <c r="O308" i="5"/>
  <c r="N308" i="5"/>
  <c r="M308" i="5"/>
  <c r="L308" i="5"/>
  <c r="K308" i="5"/>
  <c r="J308" i="5"/>
  <c r="I308" i="5"/>
  <c r="H308" i="5"/>
  <c r="G308" i="5"/>
  <c r="R307" i="5"/>
  <c r="Q307" i="5"/>
  <c r="P307" i="5"/>
  <c r="O307" i="5"/>
  <c r="N307" i="5"/>
  <c r="M307" i="5"/>
  <c r="L307" i="5"/>
  <c r="K307" i="5"/>
  <c r="J307" i="5"/>
  <c r="I307" i="5"/>
  <c r="H307" i="5"/>
  <c r="G307" i="5"/>
  <c r="R306" i="5"/>
  <c r="Q306" i="5"/>
  <c r="P306" i="5"/>
  <c r="O306" i="5"/>
  <c r="N306" i="5"/>
  <c r="M306" i="5"/>
  <c r="L306" i="5"/>
  <c r="K306" i="5"/>
  <c r="J306" i="5"/>
  <c r="I306" i="5"/>
  <c r="H306" i="5"/>
  <c r="G306" i="5"/>
  <c r="R305" i="5"/>
  <c r="Q305" i="5"/>
  <c r="P305" i="5"/>
  <c r="O305" i="5"/>
  <c r="N305" i="5"/>
  <c r="M305" i="5"/>
  <c r="L305" i="5"/>
  <c r="K305" i="5"/>
  <c r="J305" i="5"/>
  <c r="I305" i="5"/>
  <c r="H305" i="5"/>
  <c r="G305" i="5"/>
  <c r="R304" i="5"/>
  <c r="Q304" i="5"/>
  <c r="P304" i="5"/>
  <c r="O304" i="5"/>
  <c r="N304" i="5"/>
  <c r="M304" i="5"/>
  <c r="L304" i="5"/>
  <c r="K304" i="5"/>
  <c r="J304" i="5"/>
  <c r="I304" i="5"/>
  <c r="H304" i="5"/>
  <c r="G304" i="5"/>
  <c r="R303" i="5"/>
  <c r="Q303" i="5"/>
  <c r="P303" i="5"/>
  <c r="O303" i="5"/>
  <c r="N303" i="5"/>
  <c r="M303" i="5"/>
  <c r="L303" i="5"/>
  <c r="K303" i="5"/>
  <c r="J303" i="5"/>
  <c r="I303" i="5"/>
  <c r="H303" i="5"/>
  <c r="G303" i="5"/>
  <c r="R296" i="5"/>
  <c r="Q296" i="5"/>
  <c r="P296" i="5"/>
  <c r="O296" i="5"/>
  <c r="N296" i="5"/>
  <c r="M296" i="5"/>
  <c r="L296" i="5"/>
  <c r="K296" i="5"/>
  <c r="J296" i="5"/>
  <c r="I296" i="5"/>
  <c r="H296" i="5"/>
  <c r="G296" i="5"/>
  <c r="R295" i="5"/>
  <c r="Q295" i="5"/>
  <c r="P295" i="5"/>
  <c r="O295" i="5"/>
  <c r="N295" i="5"/>
  <c r="M295" i="5"/>
  <c r="L295" i="5"/>
  <c r="K295" i="5"/>
  <c r="J295" i="5"/>
  <c r="I295" i="5"/>
  <c r="H295" i="5"/>
  <c r="G295" i="5"/>
  <c r="R281" i="5"/>
  <c r="Q281" i="5"/>
  <c r="P281" i="5"/>
  <c r="O281" i="5"/>
  <c r="N281" i="5"/>
  <c r="M281" i="5"/>
  <c r="L281" i="5"/>
  <c r="K281" i="5"/>
  <c r="J281" i="5"/>
  <c r="I281" i="5"/>
  <c r="H281" i="5"/>
  <c r="G281" i="5"/>
  <c r="R280" i="5"/>
  <c r="Q280" i="5"/>
  <c r="P280" i="5"/>
  <c r="O280" i="5"/>
  <c r="N280" i="5"/>
  <c r="M280" i="5"/>
  <c r="L280" i="5"/>
  <c r="K280" i="5"/>
  <c r="J280" i="5"/>
  <c r="I280" i="5"/>
  <c r="H280" i="5"/>
  <c r="G280" i="5"/>
  <c r="R278" i="5"/>
  <c r="Q278" i="5"/>
  <c r="P278" i="5"/>
  <c r="O278" i="5"/>
  <c r="N278" i="5"/>
  <c r="M278" i="5"/>
  <c r="L278" i="5"/>
  <c r="K278" i="5"/>
  <c r="J278" i="5"/>
  <c r="I278" i="5"/>
  <c r="H278" i="5"/>
  <c r="G278" i="5"/>
  <c r="R277" i="5"/>
  <c r="Q277" i="5"/>
  <c r="P277" i="5"/>
  <c r="O277" i="5"/>
  <c r="N277" i="5"/>
  <c r="M277" i="5"/>
  <c r="L277" i="5"/>
  <c r="K277" i="5"/>
  <c r="J277" i="5"/>
  <c r="I277" i="5"/>
  <c r="H277" i="5"/>
  <c r="G277" i="5"/>
  <c r="R276" i="5"/>
  <c r="Q276" i="5"/>
  <c r="P276" i="5"/>
  <c r="O276" i="5"/>
  <c r="N276" i="5"/>
  <c r="M276" i="5"/>
  <c r="L276" i="5"/>
  <c r="K276" i="5"/>
  <c r="J276" i="5"/>
  <c r="I276" i="5"/>
  <c r="H276" i="5"/>
  <c r="G276" i="5"/>
  <c r="R275" i="5"/>
  <c r="Q275" i="5"/>
  <c r="P275" i="5"/>
  <c r="O275" i="5"/>
  <c r="N275" i="5"/>
  <c r="M275" i="5"/>
  <c r="L275" i="5"/>
  <c r="K275" i="5"/>
  <c r="J275" i="5"/>
  <c r="I275" i="5"/>
  <c r="H275" i="5"/>
  <c r="G275" i="5"/>
  <c r="R274" i="5"/>
  <c r="Q274" i="5"/>
  <c r="P274" i="5"/>
  <c r="O274" i="5"/>
  <c r="N274" i="5"/>
  <c r="M274" i="5"/>
  <c r="L274" i="5"/>
  <c r="K274" i="5"/>
  <c r="J274" i="5"/>
  <c r="I274" i="5"/>
  <c r="H274" i="5"/>
  <c r="G274" i="5"/>
  <c r="R273" i="5"/>
  <c r="Q273" i="5"/>
  <c r="P273" i="5"/>
  <c r="O273" i="5"/>
  <c r="N273" i="5"/>
  <c r="M273" i="5"/>
  <c r="L273" i="5"/>
  <c r="K273" i="5"/>
  <c r="J273" i="5"/>
  <c r="S273" i="5" s="1"/>
  <c r="I273" i="5"/>
  <c r="H273" i="5"/>
  <c r="G273" i="5"/>
  <c r="R266" i="5"/>
  <c r="Q266" i="5"/>
  <c r="P266" i="5"/>
  <c r="O266" i="5"/>
  <c r="N266" i="5"/>
  <c r="M266" i="5"/>
  <c r="L266" i="5"/>
  <c r="K266" i="5"/>
  <c r="J266" i="5"/>
  <c r="I266" i="5"/>
  <c r="H266" i="5"/>
  <c r="G266" i="5"/>
  <c r="R265" i="5"/>
  <c r="Q265" i="5"/>
  <c r="P265" i="5"/>
  <c r="O265" i="5"/>
  <c r="N265" i="5"/>
  <c r="M265" i="5"/>
  <c r="L265" i="5"/>
  <c r="K265" i="5"/>
  <c r="J265" i="5"/>
  <c r="I265" i="5"/>
  <c r="H265" i="5"/>
  <c r="G265" i="5"/>
  <c r="R251" i="5"/>
  <c r="Q251" i="5"/>
  <c r="P251" i="5"/>
  <c r="O251" i="5"/>
  <c r="N251" i="5"/>
  <c r="M251" i="5"/>
  <c r="L251" i="5"/>
  <c r="K251" i="5"/>
  <c r="J251" i="5"/>
  <c r="I251" i="5"/>
  <c r="H251" i="5"/>
  <c r="G251" i="5"/>
  <c r="R250" i="5"/>
  <c r="Q250" i="5"/>
  <c r="P250" i="5"/>
  <c r="O250" i="5"/>
  <c r="N250" i="5"/>
  <c r="M250" i="5"/>
  <c r="L250" i="5"/>
  <c r="K250" i="5"/>
  <c r="J250" i="5"/>
  <c r="I250" i="5"/>
  <c r="H250" i="5"/>
  <c r="G250" i="5"/>
  <c r="R248" i="5"/>
  <c r="Q248" i="5"/>
  <c r="P248" i="5"/>
  <c r="O248" i="5"/>
  <c r="N248" i="5"/>
  <c r="M248" i="5"/>
  <c r="L248" i="5"/>
  <c r="K248" i="5"/>
  <c r="J248" i="5"/>
  <c r="I248" i="5"/>
  <c r="H248" i="5"/>
  <c r="G248" i="5"/>
  <c r="R247" i="5"/>
  <c r="Q247" i="5"/>
  <c r="P247" i="5"/>
  <c r="O247" i="5"/>
  <c r="N247" i="5"/>
  <c r="M247" i="5"/>
  <c r="L247" i="5"/>
  <c r="K247" i="5"/>
  <c r="J247" i="5"/>
  <c r="I247" i="5"/>
  <c r="H247" i="5"/>
  <c r="G247" i="5"/>
  <c r="R246" i="5"/>
  <c r="Q246" i="5"/>
  <c r="P246" i="5"/>
  <c r="O246" i="5"/>
  <c r="N246" i="5"/>
  <c r="M246" i="5"/>
  <c r="L246" i="5"/>
  <c r="K246" i="5"/>
  <c r="J246" i="5"/>
  <c r="I246" i="5"/>
  <c r="H246" i="5"/>
  <c r="G246" i="5"/>
  <c r="R245" i="5"/>
  <c r="Q245" i="5"/>
  <c r="P245" i="5"/>
  <c r="O245" i="5"/>
  <c r="N245" i="5"/>
  <c r="M245" i="5"/>
  <c r="L245" i="5"/>
  <c r="K245" i="5"/>
  <c r="J245" i="5"/>
  <c r="I245" i="5"/>
  <c r="H245" i="5"/>
  <c r="G245" i="5"/>
  <c r="R244" i="5"/>
  <c r="Q244" i="5"/>
  <c r="P244" i="5"/>
  <c r="O244" i="5"/>
  <c r="N244" i="5"/>
  <c r="M244" i="5"/>
  <c r="L244" i="5"/>
  <c r="K244" i="5"/>
  <c r="J244" i="5"/>
  <c r="I244" i="5"/>
  <c r="H244" i="5"/>
  <c r="G244" i="5"/>
  <c r="R243" i="5"/>
  <c r="Q243" i="5"/>
  <c r="P243" i="5"/>
  <c r="O243" i="5"/>
  <c r="N243" i="5"/>
  <c r="M243" i="5"/>
  <c r="L243" i="5"/>
  <c r="K243" i="5"/>
  <c r="J243" i="5"/>
  <c r="I243" i="5"/>
  <c r="H243" i="5"/>
  <c r="G243" i="5"/>
  <c r="R236" i="5"/>
  <c r="Q236" i="5"/>
  <c r="P236" i="5"/>
  <c r="O236" i="5"/>
  <c r="N236" i="5"/>
  <c r="M236" i="5"/>
  <c r="L236" i="5"/>
  <c r="K236" i="5"/>
  <c r="J236" i="5"/>
  <c r="I236" i="5"/>
  <c r="H236" i="5"/>
  <c r="G236" i="5"/>
  <c r="R235" i="5"/>
  <c r="Q235" i="5"/>
  <c r="P235" i="5"/>
  <c r="O235" i="5"/>
  <c r="N235" i="5"/>
  <c r="M235" i="5"/>
  <c r="L235" i="5"/>
  <c r="K235" i="5"/>
  <c r="J235" i="5"/>
  <c r="I235" i="5"/>
  <c r="H235" i="5"/>
  <c r="G235" i="5"/>
  <c r="S230" i="5"/>
  <c r="R230" i="5"/>
  <c r="Q230" i="5"/>
  <c r="P230" i="5"/>
  <c r="O230" i="5"/>
  <c r="N230" i="5"/>
  <c r="M230" i="5"/>
  <c r="L230" i="5"/>
  <c r="K230" i="5"/>
  <c r="J230" i="5"/>
  <c r="I230" i="5"/>
  <c r="H230" i="5"/>
  <c r="G230" i="5"/>
  <c r="S293" i="5"/>
  <c r="B2" i="8"/>
  <c r="R203" i="5"/>
  <c r="Q203" i="5"/>
  <c r="P203" i="5"/>
  <c r="O203" i="5"/>
  <c r="N203" i="5"/>
  <c r="M203" i="5"/>
  <c r="L203" i="5"/>
  <c r="K203" i="5"/>
  <c r="J203" i="5"/>
  <c r="I203" i="5"/>
  <c r="H203" i="5"/>
  <c r="G203" i="5"/>
  <c r="R202" i="5"/>
  <c r="Q202" i="5"/>
  <c r="P202" i="5"/>
  <c r="O202" i="5"/>
  <c r="N202" i="5"/>
  <c r="M202" i="5"/>
  <c r="L202" i="5"/>
  <c r="K202" i="5"/>
  <c r="J202" i="5"/>
  <c r="I202" i="5"/>
  <c r="H202" i="5"/>
  <c r="G202" i="5"/>
  <c r="R200" i="5"/>
  <c r="Q200" i="5"/>
  <c r="P200" i="5"/>
  <c r="O200" i="5"/>
  <c r="N200" i="5"/>
  <c r="M200" i="5"/>
  <c r="L200" i="5"/>
  <c r="K200" i="5"/>
  <c r="J200" i="5"/>
  <c r="I200" i="5"/>
  <c r="H200" i="5"/>
  <c r="G200" i="5"/>
  <c r="R199" i="5"/>
  <c r="Q199" i="5"/>
  <c r="P199" i="5"/>
  <c r="O199" i="5"/>
  <c r="N199" i="5"/>
  <c r="M199" i="5"/>
  <c r="L199" i="5"/>
  <c r="K199" i="5"/>
  <c r="J199" i="5"/>
  <c r="I199" i="5"/>
  <c r="H199" i="5"/>
  <c r="G199" i="5"/>
  <c r="R198" i="5"/>
  <c r="Q198" i="5"/>
  <c r="P198" i="5"/>
  <c r="O198" i="5"/>
  <c r="N198" i="5"/>
  <c r="M198" i="5"/>
  <c r="L198" i="5"/>
  <c r="K198" i="5"/>
  <c r="J198" i="5"/>
  <c r="I198" i="5"/>
  <c r="H198" i="5"/>
  <c r="G198" i="5"/>
  <c r="R197" i="5"/>
  <c r="Q197" i="5"/>
  <c r="P197" i="5"/>
  <c r="O197" i="5"/>
  <c r="N197" i="5"/>
  <c r="M197" i="5"/>
  <c r="L197" i="5"/>
  <c r="K197" i="5"/>
  <c r="J197" i="5"/>
  <c r="I197" i="5"/>
  <c r="H197" i="5"/>
  <c r="G197" i="5"/>
  <c r="R196" i="5"/>
  <c r="Q196" i="5"/>
  <c r="P196" i="5"/>
  <c r="O196" i="5"/>
  <c r="N196" i="5"/>
  <c r="M196" i="5"/>
  <c r="L196" i="5"/>
  <c r="K196" i="5"/>
  <c r="J196" i="5"/>
  <c r="I196" i="5"/>
  <c r="H196" i="5"/>
  <c r="G196" i="5"/>
  <c r="R195" i="5"/>
  <c r="R218" i="5" s="1"/>
  <c r="Q195" i="5"/>
  <c r="P195" i="5"/>
  <c r="O195" i="5"/>
  <c r="O218" i="5" s="1"/>
  <c r="N195" i="5"/>
  <c r="M195" i="5"/>
  <c r="L195" i="5"/>
  <c r="L218" i="5" s="1"/>
  <c r="K195" i="5"/>
  <c r="J195" i="5"/>
  <c r="J218" i="5" s="1"/>
  <c r="I195" i="5"/>
  <c r="H195" i="5"/>
  <c r="G195" i="5"/>
  <c r="G218" i="5" s="1"/>
  <c r="R188" i="5"/>
  <c r="Q188" i="5"/>
  <c r="P188" i="5"/>
  <c r="O188" i="5"/>
  <c r="N188" i="5"/>
  <c r="M188" i="5"/>
  <c r="L188" i="5"/>
  <c r="K188" i="5"/>
  <c r="J188" i="5"/>
  <c r="I188" i="5"/>
  <c r="H188" i="5"/>
  <c r="G188" i="5"/>
  <c r="R187" i="5"/>
  <c r="Q187" i="5"/>
  <c r="P187" i="5"/>
  <c r="O187" i="5"/>
  <c r="N187" i="5"/>
  <c r="M187" i="5"/>
  <c r="L187" i="5"/>
  <c r="K187" i="5"/>
  <c r="J187" i="5"/>
  <c r="I187" i="5"/>
  <c r="H187" i="5"/>
  <c r="G187" i="5"/>
  <c r="G169" i="5"/>
  <c r="G173" i="5" s="1"/>
  <c r="G139" i="5"/>
  <c r="G143" i="5" s="1"/>
  <c r="G112" i="5"/>
  <c r="G109" i="5"/>
  <c r="G113" i="5" s="1"/>
  <c r="S171" i="5"/>
  <c r="S170" i="5"/>
  <c r="S168" i="5"/>
  <c r="S167" i="5"/>
  <c r="S166" i="5"/>
  <c r="S165" i="5"/>
  <c r="S164" i="5"/>
  <c r="S163" i="5"/>
  <c r="S156" i="5"/>
  <c r="S155" i="5"/>
  <c r="S141" i="5"/>
  <c r="S140" i="5"/>
  <c r="S138" i="5"/>
  <c r="S137" i="5"/>
  <c r="S136" i="5"/>
  <c r="S135" i="5"/>
  <c r="S134" i="5"/>
  <c r="S133" i="5"/>
  <c r="S126" i="5"/>
  <c r="S125" i="5"/>
  <c r="S111" i="5"/>
  <c r="S110" i="5"/>
  <c r="S108" i="5"/>
  <c r="S107" i="5"/>
  <c r="S106" i="5"/>
  <c r="S105" i="5"/>
  <c r="S104" i="5"/>
  <c r="S103" i="5"/>
  <c r="S96" i="5"/>
  <c r="S95" i="5"/>
  <c r="G30" i="3"/>
  <c r="G29" i="3"/>
  <c r="G28" i="3"/>
  <c r="K90" i="5"/>
  <c r="K320" i="5" s="1"/>
  <c r="N89" i="5"/>
  <c r="N319" i="5" s="1"/>
  <c r="M89" i="5"/>
  <c r="M319" i="5" s="1"/>
  <c r="Q88" i="5"/>
  <c r="Q318" i="5" s="1"/>
  <c r="P88" i="5"/>
  <c r="P318" i="5" s="1"/>
  <c r="G79" i="5"/>
  <c r="G64" i="5"/>
  <c r="M60" i="5"/>
  <c r="M290" i="5" s="1"/>
  <c r="L60" i="5"/>
  <c r="L290" i="5" s="1"/>
  <c r="P59" i="5"/>
  <c r="P289" i="5" s="1"/>
  <c r="O59" i="5"/>
  <c r="O289" i="5" s="1"/>
  <c r="G19" i="5"/>
  <c r="G49" i="5"/>
  <c r="G34" i="5"/>
  <c r="G264" i="5" s="1"/>
  <c r="M31" i="5"/>
  <c r="M261" i="5" s="1"/>
  <c r="K29" i="5"/>
  <c r="J29" i="5"/>
  <c r="M28" i="5"/>
  <c r="G40" i="3"/>
  <c r="G39" i="3"/>
  <c r="G38" i="3"/>
  <c r="G36" i="3"/>
  <c r="G35" i="3"/>
  <c r="G34" i="3"/>
  <c r="G26" i="3"/>
  <c r="G19" i="3"/>
  <c r="G12" i="3"/>
  <c r="G25" i="3"/>
  <c r="G24" i="3"/>
  <c r="G23" i="3"/>
  <c r="G22" i="3"/>
  <c r="G21" i="3"/>
  <c r="G20" i="3"/>
  <c r="G18" i="3"/>
  <c r="G17" i="3"/>
  <c r="G16" i="3"/>
  <c r="G15" i="3"/>
  <c r="G14" i="3"/>
  <c r="G13" i="3"/>
  <c r="G11" i="3"/>
  <c r="G10" i="3"/>
  <c r="G9" i="3"/>
  <c r="G8" i="3"/>
  <c r="G7" i="3"/>
  <c r="G6" i="3"/>
  <c r="G5" i="3"/>
  <c r="S5" i="5"/>
  <c r="S6" i="5"/>
  <c r="J79" i="4"/>
  <c r="J78" i="4"/>
  <c r="J77" i="4"/>
  <c r="J76" i="4"/>
  <c r="J75" i="4"/>
  <c r="J74" i="4"/>
  <c r="J73" i="4"/>
  <c r="M91" i="5" s="1"/>
  <c r="M321" i="5" s="1"/>
  <c r="J72" i="4"/>
  <c r="O61" i="5" s="1"/>
  <c r="O291" i="5" s="1"/>
  <c r="J71" i="4"/>
  <c r="R31" i="5" s="1"/>
  <c r="I80" i="4"/>
  <c r="J67" i="4"/>
  <c r="J66" i="4"/>
  <c r="J65" i="4"/>
  <c r="J64" i="4"/>
  <c r="J63" i="4"/>
  <c r="J62" i="4"/>
  <c r="J61" i="4"/>
  <c r="P90" i="5" s="1"/>
  <c r="P320" i="5" s="1"/>
  <c r="J60" i="4"/>
  <c r="R60" i="5" s="1"/>
  <c r="R290" i="5" s="1"/>
  <c r="J59" i="4"/>
  <c r="M30" i="5" s="1"/>
  <c r="I68" i="4"/>
  <c r="J55" i="4"/>
  <c r="J54" i="4"/>
  <c r="J53" i="4"/>
  <c r="J52" i="4"/>
  <c r="J51" i="4"/>
  <c r="J50" i="4"/>
  <c r="J49" i="4"/>
  <c r="K89" i="5" s="1"/>
  <c r="K319" i="5" s="1"/>
  <c r="J48" i="4"/>
  <c r="M59" i="5" s="1"/>
  <c r="M289" i="5" s="1"/>
  <c r="J47" i="4"/>
  <c r="P29" i="5" s="1"/>
  <c r="I56" i="4"/>
  <c r="J43" i="4"/>
  <c r="J42" i="4"/>
  <c r="J41" i="4"/>
  <c r="J40" i="4"/>
  <c r="J39" i="4"/>
  <c r="J38" i="4"/>
  <c r="J37" i="4"/>
  <c r="N88" i="5" s="1"/>
  <c r="N318" i="5" s="1"/>
  <c r="J36" i="4"/>
  <c r="P58" i="5" s="1"/>
  <c r="P288" i="5" s="1"/>
  <c r="J35" i="4"/>
  <c r="K28" i="5" s="1"/>
  <c r="I44" i="4"/>
  <c r="S13" i="5"/>
  <c r="S14" i="5"/>
  <c r="S15" i="5"/>
  <c r="S16" i="5"/>
  <c r="S17" i="5"/>
  <c r="S18" i="5"/>
  <c r="S20" i="5"/>
  <c r="S21" i="5"/>
  <c r="S35" i="5"/>
  <c r="S36" i="5"/>
  <c r="S43" i="5"/>
  <c r="S44" i="5"/>
  <c r="S45" i="5"/>
  <c r="S46" i="5"/>
  <c r="S47" i="5"/>
  <c r="S48" i="5"/>
  <c r="S50" i="5"/>
  <c r="S51" i="5"/>
  <c r="S63" i="5"/>
  <c r="S65" i="5"/>
  <c r="S66" i="5"/>
  <c r="S73" i="5"/>
  <c r="S74" i="5"/>
  <c r="S75" i="5"/>
  <c r="S76" i="5"/>
  <c r="S77" i="5"/>
  <c r="S78" i="5"/>
  <c r="S80" i="5"/>
  <c r="S81" i="5"/>
  <c r="S93" i="5"/>
  <c r="G4" i="5"/>
  <c r="L4" i="5" s="1"/>
  <c r="L12" i="5" s="1"/>
  <c r="R29" i="5" l="1"/>
  <c r="H30" i="5"/>
  <c r="J58" i="5"/>
  <c r="J288" i="5" s="1"/>
  <c r="J90" i="5"/>
  <c r="J320" i="5" s="1"/>
  <c r="O30" i="5"/>
  <c r="G29" i="5"/>
  <c r="G259" i="5" s="1"/>
  <c r="P30" i="5"/>
  <c r="P260" i="5" s="1"/>
  <c r="R58" i="5"/>
  <c r="R288" i="5" s="1"/>
  <c r="H88" i="5"/>
  <c r="H318" i="5" s="1"/>
  <c r="R90" i="5"/>
  <c r="R320" i="5" s="1"/>
  <c r="K58" i="5"/>
  <c r="K288" i="5" s="1"/>
  <c r="G30" i="5"/>
  <c r="L31" i="5"/>
  <c r="H59" i="5"/>
  <c r="H289" i="5" s="1"/>
  <c r="I88" i="5"/>
  <c r="I318" i="5" s="1"/>
  <c r="O91" i="5"/>
  <c r="O321" i="5" s="1"/>
  <c r="G28" i="5"/>
  <c r="G258" i="5" s="1"/>
  <c r="L28" i="5"/>
  <c r="I29" i="5"/>
  <c r="Q29" i="5"/>
  <c r="N30" i="5"/>
  <c r="K31" i="5"/>
  <c r="K261" i="5" s="1"/>
  <c r="I58" i="5"/>
  <c r="I288" i="5" s="1"/>
  <c r="Q58" i="5"/>
  <c r="Q288" i="5" s="1"/>
  <c r="S288" i="5" s="1"/>
  <c r="N59" i="5"/>
  <c r="N289" i="5" s="1"/>
  <c r="K60" i="5"/>
  <c r="K290" i="5" s="1"/>
  <c r="H61" i="5"/>
  <c r="H291" i="5" s="1"/>
  <c r="P61" i="5"/>
  <c r="P291" i="5" s="1"/>
  <c r="G91" i="5"/>
  <c r="G321" i="5" s="1"/>
  <c r="O88" i="5"/>
  <c r="O318" i="5" s="1"/>
  <c r="L89" i="5"/>
  <c r="L319" i="5" s="1"/>
  <c r="S319" i="5" s="1"/>
  <c r="I90" i="5"/>
  <c r="I320" i="5" s="1"/>
  <c r="S320" i="5" s="1"/>
  <c r="Q90" i="5"/>
  <c r="Q320" i="5" s="1"/>
  <c r="N91" i="5"/>
  <c r="N321" i="5" s="1"/>
  <c r="G31" i="5"/>
  <c r="G261" i="5" s="1"/>
  <c r="O28" i="5"/>
  <c r="O258" i="5" s="1"/>
  <c r="L29" i="5"/>
  <c r="L259" i="5" s="1"/>
  <c r="I30" i="5"/>
  <c r="I260" i="5" s="1"/>
  <c r="Q30" i="5"/>
  <c r="Q260" i="5" s="1"/>
  <c r="N31" i="5"/>
  <c r="N261" i="5" s="1"/>
  <c r="G58" i="5"/>
  <c r="G288" i="5" s="1"/>
  <c r="L58" i="5"/>
  <c r="L288" i="5" s="1"/>
  <c r="I59" i="5"/>
  <c r="I289" i="5" s="1"/>
  <c r="Q59" i="5"/>
  <c r="Q289" i="5" s="1"/>
  <c r="N60" i="5"/>
  <c r="N290" i="5" s="1"/>
  <c r="K61" i="5"/>
  <c r="K291" i="5" s="1"/>
  <c r="J88" i="5"/>
  <c r="J318" i="5" s="1"/>
  <c r="R88" i="5"/>
  <c r="R318" i="5" s="1"/>
  <c r="O89" i="5"/>
  <c r="O319" i="5" s="1"/>
  <c r="L90" i="5"/>
  <c r="L320" i="5" s="1"/>
  <c r="I91" i="5"/>
  <c r="I321" i="5" s="1"/>
  <c r="Q91" i="5"/>
  <c r="Q321" i="5" s="1"/>
  <c r="Q61" i="5"/>
  <c r="Q291" i="5" s="1"/>
  <c r="H28" i="5"/>
  <c r="H210" i="5" s="1"/>
  <c r="P28" i="5"/>
  <c r="P210" i="5" s="1"/>
  <c r="M29" i="5"/>
  <c r="M259" i="5" s="1"/>
  <c r="J30" i="5"/>
  <c r="R30" i="5"/>
  <c r="O31" i="5"/>
  <c r="G59" i="5"/>
  <c r="G289" i="5" s="1"/>
  <c r="M58" i="5"/>
  <c r="M288" i="5" s="1"/>
  <c r="J59" i="5"/>
  <c r="J289" i="5" s="1"/>
  <c r="R59" i="5"/>
  <c r="R289" i="5" s="1"/>
  <c r="O60" i="5"/>
  <c r="O290" i="5" s="1"/>
  <c r="L61" i="5"/>
  <c r="L291" i="5" s="1"/>
  <c r="K88" i="5"/>
  <c r="K318" i="5" s="1"/>
  <c r="H89" i="5"/>
  <c r="H319" i="5" s="1"/>
  <c r="P89" i="5"/>
  <c r="P319" i="5" s="1"/>
  <c r="M90" i="5"/>
  <c r="M320" i="5" s="1"/>
  <c r="J91" i="5"/>
  <c r="J321" i="5" s="1"/>
  <c r="R91" i="5"/>
  <c r="R321" i="5" s="1"/>
  <c r="I61" i="5"/>
  <c r="I291" i="5" s="1"/>
  <c r="J61" i="5"/>
  <c r="J291" i="5" s="1"/>
  <c r="R61" i="5"/>
  <c r="R291" i="5" s="1"/>
  <c r="H91" i="5"/>
  <c r="H321" i="5" s="1"/>
  <c r="I28" i="5"/>
  <c r="I258" i="5" s="1"/>
  <c r="Q28" i="5"/>
  <c r="Q258" i="5" s="1"/>
  <c r="N29" i="5"/>
  <c r="N259" i="5" s="1"/>
  <c r="K30" i="5"/>
  <c r="K212" i="5" s="1"/>
  <c r="H31" i="5"/>
  <c r="S31" i="5" s="1"/>
  <c r="P31" i="5"/>
  <c r="G60" i="5"/>
  <c r="G290" i="5" s="1"/>
  <c r="N58" i="5"/>
  <c r="N288" i="5" s="1"/>
  <c r="K59" i="5"/>
  <c r="K289" i="5" s="1"/>
  <c r="H60" i="5"/>
  <c r="H290" i="5" s="1"/>
  <c r="P60" i="5"/>
  <c r="P290" i="5" s="1"/>
  <c r="M61" i="5"/>
  <c r="M213" i="5" s="1"/>
  <c r="G88" i="5"/>
  <c r="G318" i="5" s="1"/>
  <c r="S318" i="5" s="1"/>
  <c r="L88" i="5"/>
  <c r="L318" i="5" s="1"/>
  <c r="I89" i="5"/>
  <c r="I319" i="5" s="1"/>
  <c r="Q89" i="5"/>
  <c r="Q319" i="5" s="1"/>
  <c r="N90" i="5"/>
  <c r="N320" i="5" s="1"/>
  <c r="K91" i="5"/>
  <c r="K321" i="5" s="1"/>
  <c r="J28" i="5"/>
  <c r="J258" i="5" s="1"/>
  <c r="R28" i="5"/>
  <c r="R258" i="5" s="1"/>
  <c r="O29" i="5"/>
  <c r="O211" i="5" s="1"/>
  <c r="L30" i="5"/>
  <c r="L212" i="5" s="1"/>
  <c r="I31" i="5"/>
  <c r="Q31" i="5"/>
  <c r="G61" i="5"/>
  <c r="G291" i="5" s="1"/>
  <c r="O58" i="5"/>
  <c r="O288" i="5" s="1"/>
  <c r="L59" i="5"/>
  <c r="L289" i="5" s="1"/>
  <c r="I60" i="5"/>
  <c r="I290" i="5" s="1"/>
  <c r="Q60" i="5"/>
  <c r="Q290" i="5" s="1"/>
  <c r="N61" i="5"/>
  <c r="N291" i="5" s="1"/>
  <c r="G89" i="5"/>
  <c r="G319" i="5" s="1"/>
  <c r="M88" i="5"/>
  <c r="M318" i="5" s="1"/>
  <c r="J89" i="5"/>
  <c r="J319" i="5" s="1"/>
  <c r="R89" i="5"/>
  <c r="R319" i="5" s="1"/>
  <c r="O90" i="5"/>
  <c r="O320" i="5" s="1"/>
  <c r="L91" i="5"/>
  <c r="L321" i="5" s="1"/>
  <c r="N28" i="5"/>
  <c r="N210" i="5" s="1"/>
  <c r="P91" i="5"/>
  <c r="P321" i="5" s="1"/>
  <c r="H29" i="5"/>
  <c r="J31" i="5"/>
  <c r="H58" i="5"/>
  <c r="H288" i="5" s="1"/>
  <c r="J60" i="5"/>
  <c r="J290" i="5" s="1"/>
  <c r="G90" i="5"/>
  <c r="G320" i="5" s="1"/>
  <c r="H90" i="5"/>
  <c r="H320" i="5" s="1"/>
  <c r="F25" i="9"/>
  <c r="F30" i="12"/>
  <c r="F43" i="9"/>
  <c r="F45" i="12"/>
  <c r="H45" i="12" s="1"/>
  <c r="F40" i="12"/>
  <c r="I13" i="7"/>
  <c r="F23" i="9"/>
  <c r="F28" i="12"/>
  <c r="F26" i="9"/>
  <c r="F31" i="12"/>
  <c r="F44" i="9"/>
  <c r="F46" i="12"/>
  <c r="H46" i="12" s="1"/>
  <c r="E14" i="7"/>
  <c r="H7" i="11"/>
  <c r="H10" i="11" s="1"/>
  <c r="K105" i="1"/>
  <c r="F54" i="12"/>
  <c r="F28" i="9"/>
  <c r="H28" i="9" s="1"/>
  <c r="L28" i="9" s="1"/>
  <c r="F33" i="12"/>
  <c r="F46" i="9"/>
  <c r="H46" i="9" s="1"/>
  <c r="L46" i="9" s="1"/>
  <c r="F48" i="12"/>
  <c r="H48" i="12" s="1"/>
  <c r="F27" i="9"/>
  <c r="F32" i="12"/>
  <c r="F29" i="9"/>
  <c r="F34" i="12"/>
  <c r="F47" i="9"/>
  <c r="H47" i="9" s="1"/>
  <c r="L47" i="9" s="1"/>
  <c r="F49" i="12"/>
  <c r="H49" i="12" s="1"/>
  <c r="I8" i="11"/>
  <c r="F45" i="9"/>
  <c r="F47" i="12"/>
  <c r="H47" i="12" s="1"/>
  <c r="F30" i="9"/>
  <c r="F35" i="12"/>
  <c r="F41" i="9"/>
  <c r="F43" i="12"/>
  <c r="H43" i="12" s="1"/>
  <c r="E12" i="7"/>
  <c r="F24" i="9"/>
  <c r="F29" i="12"/>
  <c r="F42" i="9"/>
  <c r="F44" i="12"/>
  <c r="H44" i="12" s="1"/>
  <c r="M12" i="7"/>
  <c r="H25" i="9"/>
  <c r="L25" i="9" s="1"/>
  <c r="H29" i="9"/>
  <c r="L29" i="9" s="1"/>
  <c r="O104" i="1"/>
  <c r="H76" i="1"/>
  <c r="L12" i="7"/>
  <c r="H13" i="7"/>
  <c r="L14" i="7"/>
  <c r="G7" i="11"/>
  <c r="O7" i="11"/>
  <c r="H8" i="11"/>
  <c r="P8" i="11"/>
  <c r="I9" i="11"/>
  <c r="P106" i="1"/>
  <c r="H106" i="1"/>
  <c r="F12" i="7"/>
  <c r="J13" i="7"/>
  <c r="F14" i="7"/>
  <c r="N14" i="7"/>
  <c r="I7" i="11"/>
  <c r="J8" i="11"/>
  <c r="K9" i="11"/>
  <c r="K13" i="7"/>
  <c r="G14" i="7"/>
  <c r="O14" i="7"/>
  <c r="J7" i="11"/>
  <c r="K8" i="11"/>
  <c r="L9" i="11"/>
  <c r="E10" i="11"/>
  <c r="H12" i="7"/>
  <c r="L13" i="7"/>
  <c r="H14" i="7"/>
  <c r="K7" i="11"/>
  <c r="L8" i="11"/>
  <c r="M9" i="11"/>
  <c r="I12" i="7"/>
  <c r="E13" i="7"/>
  <c r="E15" i="7" s="1"/>
  <c r="M13" i="7"/>
  <c r="M15" i="7" s="1"/>
  <c r="I14" i="7"/>
  <c r="L7" i="11"/>
  <c r="M8" i="11"/>
  <c r="F9" i="11"/>
  <c r="N9" i="11"/>
  <c r="L75" i="1"/>
  <c r="H31" i="9"/>
  <c r="L31" i="9" s="1"/>
  <c r="J12" i="7"/>
  <c r="F13" i="7"/>
  <c r="N13" i="7"/>
  <c r="J14" i="7"/>
  <c r="M7" i="11"/>
  <c r="F8" i="11"/>
  <c r="N8" i="11"/>
  <c r="G9" i="11"/>
  <c r="O9" i="11"/>
  <c r="K12" i="7"/>
  <c r="G13" i="7"/>
  <c r="G15" i="7" s="1"/>
  <c r="O13" i="7"/>
  <c r="O15" i="7" s="1"/>
  <c r="K14" i="7"/>
  <c r="F7" i="11"/>
  <c r="N7" i="11"/>
  <c r="G8" i="11"/>
  <c r="O8" i="11"/>
  <c r="H9" i="11"/>
  <c r="P9" i="11"/>
  <c r="P10" i="11" s="1"/>
  <c r="H45" i="9"/>
  <c r="L45" i="9" s="1"/>
  <c r="Q74" i="1"/>
  <c r="P76" i="1"/>
  <c r="P104" i="1"/>
  <c r="G91" i="1"/>
  <c r="G105" i="1"/>
  <c r="O106" i="1"/>
  <c r="M75" i="1"/>
  <c r="L91" i="1"/>
  <c r="L105" i="1"/>
  <c r="H49" i="9"/>
  <c r="L49" i="9" s="1"/>
  <c r="O75" i="1"/>
  <c r="M91" i="1"/>
  <c r="M105" i="1"/>
  <c r="Q104" i="1"/>
  <c r="Q106" i="1"/>
  <c r="O91" i="1"/>
  <c r="K89" i="1"/>
  <c r="I74" i="1"/>
  <c r="H104" i="1"/>
  <c r="I106" i="1"/>
  <c r="H42" i="9"/>
  <c r="L42" i="9" s="1"/>
  <c r="O90" i="1"/>
  <c r="P74" i="1"/>
  <c r="I76" i="1"/>
  <c r="I104" i="1"/>
  <c r="K106" i="1"/>
  <c r="H30" i="9"/>
  <c r="L30" i="9" s="1"/>
  <c r="M89" i="1"/>
  <c r="I90" i="1"/>
  <c r="Q90" i="1"/>
  <c r="H23" i="9"/>
  <c r="H41" i="9"/>
  <c r="L41" i="9" s="1"/>
  <c r="J74" i="1"/>
  <c r="N75" i="1"/>
  <c r="J76" i="1"/>
  <c r="F89" i="1"/>
  <c r="N89" i="1"/>
  <c r="J90" i="1"/>
  <c r="F91" i="1"/>
  <c r="N91" i="1"/>
  <c r="J104" i="1"/>
  <c r="F105" i="1"/>
  <c r="N105" i="1"/>
  <c r="J106" i="1"/>
  <c r="H24" i="9"/>
  <c r="L24" i="9" s="1"/>
  <c r="H32" i="9"/>
  <c r="L32" i="9" s="1"/>
  <c r="P90" i="1"/>
  <c r="L74" i="1"/>
  <c r="H75" i="1"/>
  <c r="P75" i="1"/>
  <c r="H89" i="1"/>
  <c r="P89" i="1"/>
  <c r="L90" i="1"/>
  <c r="H91" i="1"/>
  <c r="P91" i="1"/>
  <c r="L104" i="1"/>
  <c r="H105" i="1"/>
  <c r="P105" i="1"/>
  <c r="L106" i="1"/>
  <c r="H18" i="9"/>
  <c r="S7" i="11" s="1"/>
  <c r="F4" i="12" s="1"/>
  <c r="H26" i="9"/>
  <c r="L26" i="9" s="1"/>
  <c r="H43" i="9"/>
  <c r="L43" i="9" s="1"/>
  <c r="H90" i="1"/>
  <c r="G89" i="1"/>
  <c r="M74" i="1"/>
  <c r="I75" i="1"/>
  <c r="Q75" i="1"/>
  <c r="M76" i="1"/>
  <c r="I89" i="1"/>
  <c r="Q89" i="1"/>
  <c r="M90" i="1"/>
  <c r="I91" i="1"/>
  <c r="Q91" i="1"/>
  <c r="M104" i="1"/>
  <c r="I105" i="1"/>
  <c r="Q105" i="1"/>
  <c r="M106" i="1"/>
  <c r="H27" i="9"/>
  <c r="L27" i="9" s="1"/>
  <c r="H44" i="9"/>
  <c r="L44" i="9" s="1"/>
  <c r="L89" i="1"/>
  <c r="K74" i="1"/>
  <c r="K76" i="1"/>
  <c r="O89" i="1"/>
  <c r="K104" i="1"/>
  <c r="N74" i="1"/>
  <c r="J89" i="1"/>
  <c r="F90" i="1"/>
  <c r="N90" i="1"/>
  <c r="J91" i="1"/>
  <c r="F104" i="1"/>
  <c r="N104" i="1"/>
  <c r="J105" i="1"/>
  <c r="F106" i="1"/>
  <c r="N106" i="1"/>
  <c r="H50" i="9"/>
  <c r="L50" i="9" s="1"/>
  <c r="G75" i="1"/>
  <c r="K90" i="1"/>
  <c r="O105" i="1"/>
  <c r="N101" i="1"/>
  <c r="G74" i="1"/>
  <c r="O74" i="1"/>
  <c r="G90" i="1"/>
  <c r="K91" i="1"/>
  <c r="G104" i="1"/>
  <c r="G106" i="1"/>
  <c r="F48" i="9"/>
  <c r="H48" i="9" s="1"/>
  <c r="L48" i="9" s="1"/>
  <c r="L5" i="9"/>
  <c r="O99" i="1"/>
  <c r="N83" i="1"/>
  <c r="P81" i="1"/>
  <c r="J82" i="1"/>
  <c r="J84" i="1"/>
  <c r="J86" i="1"/>
  <c r="M95" i="1"/>
  <c r="N69" i="1"/>
  <c r="L79" i="1"/>
  <c r="Q100" i="1"/>
  <c r="K80" i="1"/>
  <c r="Q94" i="1"/>
  <c r="I65" i="1"/>
  <c r="H87" i="1"/>
  <c r="Q71" i="1"/>
  <c r="N67" i="1"/>
  <c r="Q98" i="1"/>
  <c r="Q96" i="1"/>
  <c r="L65" i="1"/>
  <c r="O69" i="1"/>
  <c r="Q79" i="1"/>
  <c r="K94" i="1"/>
  <c r="L67" i="1"/>
  <c r="O82" i="1"/>
  <c r="P94" i="1"/>
  <c r="H22" i="1"/>
  <c r="Q82" i="1"/>
  <c r="G99" i="1"/>
  <c r="N85" i="1"/>
  <c r="M97" i="1"/>
  <c r="N65" i="1"/>
  <c r="O67" i="1"/>
  <c r="Q69" i="1"/>
  <c r="H81" i="1"/>
  <c r="H83" i="1"/>
  <c r="M87" i="1"/>
  <c r="G95" i="1"/>
  <c r="F101" i="1"/>
  <c r="O65" i="1"/>
  <c r="Q67" i="1"/>
  <c r="I73" i="1"/>
  <c r="M81" i="1"/>
  <c r="P83" i="1"/>
  <c r="P87" i="1"/>
  <c r="O95" i="1"/>
  <c r="O79" i="1"/>
  <c r="M99" i="1"/>
  <c r="Q65" i="1"/>
  <c r="L73" i="1"/>
  <c r="L84" i="1"/>
  <c r="K96" i="1"/>
  <c r="I71" i="1"/>
  <c r="N73" i="1"/>
  <c r="G82" i="1"/>
  <c r="H85" i="1"/>
  <c r="G88" i="1"/>
  <c r="G97" i="1"/>
  <c r="J102" i="1"/>
  <c r="N81" i="1"/>
  <c r="L101" i="1"/>
  <c r="I69" i="1"/>
  <c r="L71" i="1"/>
  <c r="Q73" i="1"/>
  <c r="F79" i="1"/>
  <c r="I82" i="1"/>
  <c r="P85" i="1"/>
  <c r="I88" i="1"/>
  <c r="F94" i="1"/>
  <c r="O97" i="1"/>
  <c r="I67" i="1"/>
  <c r="L69" i="1"/>
  <c r="N71" i="1"/>
  <c r="I79" i="1"/>
  <c r="L82" i="1"/>
  <c r="L86" i="1"/>
  <c r="L88" i="1"/>
  <c r="H94" i="1"/>
  <c r="K98" i="1"/>
  <c r="N103" i="1"/>
  <c r="M64" i="1"/>
  <c r="L64" i="1"/>
  <c r="H65" i="1"/>
  <c r="P65" i="1"/>
  <c r="L66" i="1"/>
  <c r="H67" i="1"/>
  <c r="P67" i="1"/>
  <c r="L68" i="1"/>
  <c r="H69" i="1"/>
  <c r="P69" i="1"/>
  <c r="L70" i="1"/>
  <c r="H71" i="1"/>
  <c r="P71" i="1"/>
  <c r="L72" i="1"/>
  <c r="H73" i="1"/>
  <c r="P73" i="1"/>
  <c r="H79" i="1"/>
  <c r="P79" i="1"/>
  <c r="L80" i="1"/>
  <c r="G81" i="1"/>
  <c r="O81" i="1"/>
  <c r="K82" i="1"/>
  <c r="G83" i="1"/>
  <c r="O83" i="1"/>
  <c r="K84" i="1"/>
  <c r="G85" i="1"/>
  <c r="O85" i="1"/>
  <c r="K86" i="1"/>
  <c r="O87" i="1"/>
  <c r="K88" i="1"/>
  <c r="J94" i="1"/>
  <c r="F95" i="1"/>
  <c r="N95" i="1"/>
  <c r="J96" i="1"/>
  <c r="F97" i="1"/>
  <c r="N97" i="1"/>
  <c r="J98" i="1"/>
  <c r="F99" i="1"/>
  <c r="N99" i="1"/>
  <c r="J100" i="1"/>
  <c r="M101" i="1"/>
  <c r="I102" i="1"/>
  <c r="Q102" i="1"/>
  <c r="M103" i="1"/>
  <c r="H21" i="1"/>
  <c r="H39" i="1"/>
  <c r="H40" i="1"/>
  <c r="N64" i="1"/>
  <c r="J65" i="1"/>
  <c r="N66" i="1"/>
  <c r="J67" i="1"/>
  <c r="N68" i="1"/>
  <c r="J69" i="1"/>
  <c r="N70" i="1"/>
  <c r="J71" i="1"/>
  <c r="N72" i="1"/>
  <c r="J73" i="1"/>
  <c r="J79" i="1"/>
  <c r="F80" i="1"/>
  <c r="N80" i="1"/>
  <c r="I81" i="1"/>
  <c r="Q81" i="1"/>
  <c r="M82" i="1"/>
  <c r="I83" i="1"/>
  <c r="Q83" i="1"/>
  <c r="M84" i="1"/>
  <c r="I85" i="1"/>
  <c r="Q85" i="1"/>
  <c r="M86" i="1"/>
  <c r="Q87" i="1"/>
  <c r="L94" i="1"/>
  <c r="H95" i="1"/>
  <c r="P95" i="1"/>
  <c r="L96" i="1"/>
  <c r="H97" i="1"/>
  <c r="P97" i="1"/>
  <c r="L98" i="1"/>
  <c r="H99" i="1"/>
  <c r="P99" i="1"/>
  <c r="L100" i="1"/>
  <c r="G101" i="1"/>
  <c r="O101" i="1"/>
  <c r="K102" i="1"/>
  <c r="G103" i="1"/>
  <c r="O103" i="1"/>
  <c r="H41" i="1"/>
  <c r="G64" i="1"/>
  <c r="O64" i="1"/>
  <c r="K65" i="1"/>
  <c r="G66" i="1"/>
  <c r="O66" i="1"/>
  <c r="K67" i="1"/>
  <c r="G68" i="1"/>
  <c r="O68" i="1"/>
  <c r="K69" i="1"/>
  <c r="G70" i="1"/>
  <c r="O70" i="1"/>
  <c r="K71" i="1"/>
  <c r="G72" i="1"/>
  <c r="O72" i="1"/>
  <c r="K73" i="1"/>
  <c r="K79" i="1"/>
  <c r="G80" i="1"/>
  <c r="O80" i="1"/>
  <c r="J81" i="1"/>
  <c r="F82" i="1"/>
  <c r="N82" i="1"/>
  <c r="J83" i="1"/>
  <c r="F84" i="1"/>
  <c r="N84" i="1"/>
  <c r="J85" i="1"/>
  <c r="F86" i="1"/>
  <c r="N86" i="1"/>
  <c r="J87" i="1"/>
  <c r="N88" i="1"/>
  <c r="M94" i="1"/>
  <c r="I95" i="1"/>
  <c r="Q95" i="1"/>
  <c r="M96" i="1"/>
  <c r="I97" i="1"/>
  <c r="Q97" i="1"/>
  <c r="M98" i="1"/>
  <c r="I99" i="1"/>
  <c r="Q99" i="1"/>
  <c r="M100" i="1"/>
  <c r="H101" i="1"/>
  <c r="P101" i="1"/>
  <c r="L102" i="1"/>
  <c r="H103" i="1"/>
  <c r="P103" i="1"/>
  <c r="H24" i="1"/>
  <c r="H34" i="1"/>
  <c r="M68" i="1"/>
  <c r="M80" i="1"/>
  <c r="H64" i="1"/>
  <c r="P64" i="1"/>
  <c r="H66" i="1"/>
  <c r="P66" i="1"/>
  <c r="H68" i="1"/>
  <c r="P68" i="1"/>
  <c r="H70" i="1"/>
  <c r="P70" i="1"/>
  <c r="H72" i="1"/>
  <c r="P72" i="1"/>
  <c r="H80" i="1"/>
  <c r="P80" i="1"/>
  <c r="K81" i="1"/>
  <c r="K83" i="1"/>
  <c r="G84" i="1"/>
  <c r="O84" i="1"/>
  <c r="K85" i="1"/>
  <c r="G86" i="1"/>
  <c r="O86" i="1"/>
  <c r="N94" i="1"/>
  <c r="J95" i="1"/>
  <c r="F96" i="1"/>
  <c r="N96" i="1"/>
  <c r="J97" i="1"/>
  <c r="F98" i="1"/>
  <c r="N98" i="1"/>
  <c r="J99" i="1"/>
  <c r="F100" i="1"/>
  <c r="N100" i="1"/>
  <c r="I101" i="1"/>
  <c r="Q101" i="1"/>
  <c r="H25" i="1"/>
  <c r="H35" i="1"/>
  <c r="M72" i="1"/>
  <c r="I64" i="1"/>
  <c r="Q64" i="1"/>
  <c r="M65" i="1"/>
  <c r="I66" i="1"/>
  <c r="Q66" i="1"/>
  <c r="M67" i="1"/>
  <c r="I68" i="1"/>
  <c r="Q68" i="1"/>
  <c r="M69" i="1"/>
  <c r="I70" i="1"/>
  <c r="Q70" i="1"/>
  <c r="M71" i="1"/>
  <c r="I72" i="1"/>
  <c r="Q72" i="1"/>
  <c r="M73" i="1"/>
  <c r="M79" i="1"/>
  <c r="I80" i="1"/>
  <c r="Q80" i="1"/>
  <c r="L81" i="1"/>
  <c r="H82" i="1"/>
  <c r="P82" i="1"/>
  <c r="L83" i="1"/>
  <c r="H84" i="1"/>
  <c r="P84" i="1"/>
  <c r="L85" i="1"/>
  <c r="H86" i="1"/>
  <c r="P86" i="1"/>
  <c r="G94" i="1"/>
  <c r="O94" i="1"/>
  <c r="K95" i="1"/>
  <c r="G96" i="1"/>
  <c r="O96" i="1"/>
  <c r="K97" i="1"/>
  <c r="G98" i="1"/>
  <c r="O98" i="1"/>
  <c r="K99" i="1"/>
  <c r="G100" i="1"/>
  <c r="O100" i="1"/>
  <c r="J101" i="1"/>
  <c r="H36" i="1"/>
  <c r="M70" i="1"/>
  <c r="K100" i="1"/>
  <c r="J64" i="1"/>
  <c r="J66" i="1"/>
  <c r="J68" i="1"/>
  <c r="J70" i="1"/>
  <c r="J72" i="1"/>
  <c r="N79" i="1"/>
  <c r="J80" i="1"/>
  <c r="M83" i="1"/>
  <c r="I84" i="1"/>
  <c r="Q84" i="1"/>
  <c r="M85" i="1"/>
  <c r="I86" i="1"/>
  <c r="Q86" i="1"/>
  <c r="L95" i="1"/>
  <c r="H96" i="1"/>
  <c r="P96" i="1"/>
  <c r="L97" i="1"/>
  <c r="H98" i="1"/>
  <c r="P98" i="1"/>
  <c r="L99" i="1"/>
  <c r="H100" i="1"/>
  <c r="P100" i="1"/>
  <c r="K101" i="1"/>
  <c r="H37" i="1"/>
  <c r="K64" i="1"/>
  <c r="G65" i="1"/>
  <c r="K66" i="1"/>
  <c r="G67" i="1"/>
  <c r="K68" i="1"/>
  <c r="G69" i="1"/>
  <c r="K70" i="1"/>
  <c r="G71" i="1"/>
  <c r="O71" i="1"/>
  <c r="K72" i="1"/>
  <c r="G73" i="1"/>
  <c r="O73" i="1"/>
  <c r="G79" i="1"/>
  <c r="F81" i="1"/>
  <c r="F83" i="1"/>
  <c r="F85" i="1"/>
  <c r="I94" i="1"/>
  <c r="I96" i="1"/>
  <c r="I98" i="1"/>
  <c r="I100" i="1"/>
  <c r="H20" i="1"/>
  <c r="H38" i="1"/>
  <c r="T72" i="1"/>
  <c r="T73" i="1"/>
  <c r="H19" i="1"/>
  <c r="H9" i="1"/>
  <c r="H23" i="1"/>
  <c r="T64" i="1"/>
  <c r="T82" i="1"/>
  <c r="H27" i="1"/>
  <c r="T100" i="1"/>
  <c r="T101" i="1"/>
  <c r="T71" i="1"/>
  <c r="T81" i="1"/>
  <c r="T99" i="1"/>
  <c r="H5" i="1"/>
  <c r="H26" i="1"/>
  <c r="T66" i="1"/>
  <c r="T84" i="1"/>
  <c r="T94" i="1"/>
  <c r="T102" i="1"/>
  <c r="T67" i="1"/>
  <c r="T85" i="1"/>
  <c r="T95" i="1"/>
  <c r="T103" i="1"/>
  <c r="T68" i="1"/>
  <c r="T96" i="1"/>
  <c r="T97" i="1"/>
  <c r="T70" i="1"/>
  <c r="T80" i="1"/>
  <c r="T88" i="1"/>
  <c r="T98" i="1"/>
  <c r="H59" i="1"/>
  <c r="I59" i="1"/>
  <c r="R58" i="1"/>
  <c r="P14" i="7" s="1"/>
  <c r="R57" i="1"/>
  <c r="P13" i="7" s="1"/>
  <c r="G59" i="1"/>
  <c r="N218" i="5"/>
  <c r="S266" i="5"/>
  <c r="R212" i="5"/>
  <c r="S248" i="5"/>
  <c r="I261" i="5"/>
  <c r="Q213" i="5"/>
  <c r="Q261" i="5"/>
  <c r="G175" i="5"/>
  <c r="K210" i="5"/>
  <c r="K258" i="5"/>
  <c r="H259" i="5"/>
  <c r="P211" i="5"/>
  <c r="P259" i="5"/>
  <c r="M212" i="5"/>
  <c r="M260" i="5"/>
  <c r="J261" i="5"/>
  <c r="R261" i="5"/>
  <c r="K218" i="5"/>
  <c r="S198" i="5"/>
  <c r="S203" i="5"/>
  <c r="I211" i="5"/>
  <c r="I259" i="5"/>
  <c r="N212" i="5"/>
  <c r="N260" i="5"/>
  <c r="S235" i="5"/>
  <c r="S236" i="5"/>
  <c r="S243" i="5"/>
  <c r="L258" i="5"/>
  <c r="Q211" i="5"/>
  <c r="Q259" i="5"/>
  <c r="J259" i="5"/>
  <c r="L261" i="5"/>
  <c r="S188" i="5"/>
  <c r="Q218" i="5"/>
  <c r="M210" i="5"/>
  <c r="M258" i="5"/>
  <c r="R259" i="5"/>
  <c r="O260" i="5"/>
  <c r="G54" i="5"/>
  <c r="G279" i="5"/>
  <c r="M218" i="5"/>
  <c r="G260" i="5"/>
  <c r="K211" i="5"/>
  <c r="K259" i="5"/>
  <c r="H212" i="5"/>
  <c r="H260" i="5"/>
  <c r="H19" i="5"/>
  <c r="H24" i="5" s="1"/>
  <c r="G249" i="5"/>
  <c r="G70" i="5"/>
  <c r="G294" i="5"/>
  <c r="S321" i="5"/>
  <c r="S187" i="5"/>
  <c r="S197" i="5"/>
  <c r="S202" i="5"/>
  <c r="R260" i="5"/>
  <c r="H258" i="5"/>
  <c r="O261" i="5"/>
  <c r="H79" i="5"/>
  <c r="H87" i="5" s="1"/>
  <c r="G309" i="5"/>
  <c r="H218" i="5"/>
  <c r="P218" i="5"/>
  <c r="L234" i="5"/>
  <c r="S274" i="5"/>
  <c r="S276" i="5"/>
  <c r="S280" i="5"/>
  <c r="S281" i="5"/>
  <c r="S296" i="5"/>
  <c r="S304" i="5"/>
  <c r="S245" i="5"/>
  <c r="S295" i="5"/>
  <c r="S303" i="5"/>
  <c r="S311" i="5"/>
  <c r="S265" i="5"/>
  <c r="S275" i="5"/>
  <c r="S305" i="5"/>
  <c r="S244" i="5"/>
  <c r="S246" i="5"/>
  <c r="S247" i="5"/>
  <c r="S250" i="5"/>
  <c r="S251" i="5"/>
  <c r="S306" i="5"/>
  <c r="S307" i="5"/>
  <c r="S308" i="5"/>
  <c r="S310" i="5"/>
  <c r="S277" i="5"/>
  <c r="S278" i="5"/>
  <c r="I218" i="5"/>
  <c r="S196" i="5"/>
  <c r="S195" i="5"/>
  <c r="S199" i="5"/>
  <c r="R34" i="5"/>
  <c r="R264" i="5" s="1"/>
  <c r="G213" i="5"/>
  <c r="S200" i="5"/>
  <c r="G172" i="5"/>
  <c r="G201" i="5"/>
  <c r="G142" i="5"/>
  <c r="G186" i="5"/>
  <c r="S149" i="5"/>
  <c r="J160" i="5"/>
  <c r="K161" i="5"/>
  <c r="K159" i="5"/>
  <c r="K160" i="5"/>
  <c r="G160" i="5"/>
  <c r="M159" i="5"/>
  <c r="M161" i="5"/>
  <c r="N162" i="5"/>
  <c r="N161" i="5"/>
  <c r="S178" i="5"/>
  <c r="S179" i="5"/>
  <c r="S180" i="5"/>
  <c r="S121" i="5"/>
  <c r="S118" i="5"/>
  <c r="S120" i="5"/>
  <c r="S151" i="5"/>
  <c r="S181" i="5"/>
  <c r="S148" i="5"/>
  <c r="S150" i="5"/>
  <c r="S119" i="5"/>
  <c r="H162" i="5"/>
  <c r="P159" i="5"/>
  <c r="I159" i="5"/>
  <c r="Q159" i="5"/>
  <c r="L160" i="5"/>
  <c r="G177" i="5"/>
  <c r="H159" i="5"/>
  <c r="J159" i="5"/>
  <c r="M160" i="5"/>
  <c r="H161" i="5"/>
  <c r="P161" i="5"/>
  <c r="H169" i="5"/>
  <c r="G174" i="5"/>
  <c r="Q161" i="5"/>
  <c r="L162" i="5"/>
  <c r="P162" i="5"/>
  <c r="I161" i="5"/>
  <c r="L159" i="5"/>
  <c r="M162" i="5"/>
  <c r="G176" i="5"/>
  <c r="H160" i="5"/>
  <c r="P160" i="5"/>
  <c r="G145" i="5"/>
  <c r="H139" i="5"/>
  <c r="G144" i="5"/>
  <c r="G147" i="5"/>
  <c r="G146" i="5"/>
  <c r="G115" i="5"/>
  <c r="H109" i="5"/>
  <c r="G114" i="5"/>
  <c r="G117" i="5"/>
  <c r="G116" i="5"/>
  <c r="G25" i="5"/>
  <c r="G26" i="5"/>
  <c r="G27" i="5"/>
  <c r="G22" i="5"/>
  <c r="G252" i="5" s="1"/>
  <c r="G24" i="5"/>
  <c r="G23" i="5"/>
  <c r="G56" i="5"/>
  <c r="G53" i="5"/>
  <c r="G283" i="5" s="1"/>
  <c r="L9" i="5"/>
  <c r="I34" i="5"/>
  <c r="K64" i="5"/>
  <c r="Q34" i="5"/>
  <c r="G69" i="5"/>
  <c r="G9" i="5"/>
  <c r="G55" i="5"/>
  <c r="R40" i="5"/>
  <c r="I79" i="5"/>
  <c r="H85" i="5"/>
  <c r="H86" i="5"/>
  <c r="H82" i="5"/>
  <c r="H23" i="5"/>
  <c r="G11" i="5"/>
  <c r="K34" i="5"/>
  <c r="K264" i="5" s="1"/>
  <c r="G39" i="5"/>
  <c r="G38" i="5"/>
  <c r="G57" i="5"/>
  <c r="M64" i="5"/>
  <c r="M294" i="5" s="1"/>
  <c r="G71" i="5"/>
  <c r="G84" i="5"/>
  <c r="G7" i="5"/>
  <c r="L8" i="5"/>
  <c r="G12" i="5"/>
  <c r="L10" i="5"/>
  <c r="L34" i="5"/>
  <c r="G40" i="5"/>
  <c r="G52" i="5"/>
  <c r="N64" i="5"/>
  <c r="N294" i="5" s="1"/>
  <c r="G72" i="5"/>
  <c r="G85" i="5"/>
  <c r="M34" i="5"/>
  <c r="M264" i="5" s="1"/>
  <c r="G41" i="5"/>
  <c r="O64" i="5"/>
  <c r="O294" i="5" s="1"/>
  <c r="G68" i="5"/>
  <c r="G86" i="5"/>
  <c r="N34" i="5"/>
  <c r="N264" i="5" s="1"/>
  <c r="G42" i="5"/>
  <c r="H64" i="5"/>
  <c r="H294" i="5" s="1"/>
  <c r="P64" i="5"/>
  <c r="P294" i="5" s="1"/>
  <c r="G67" i="5"/>
  <c r="G87" i="5"/>
  <c r="G8" i="5"/>
  <c r="L11" i="5"/>
  <c r="O34" i="5"/>
  <c r="O264" i="5" s="1"/>
  <c r="G37" i="5"/>
  <c r="H49" i="5"/>
  <c r="I64" i="5"/>
  <c r="I294" i="5" s="1"/>
  <c r="Q64" i="5"/>
  <c r="Q294" i="5" s="1"/>
  <c r="G82" i="5"/>
  <c r="L7" i="5"/>
  <c r="H34" i="5"/>
  <c r="H264" i="5" s="1"/>
  <c r="P34" i="5"/>
  <c r="P264" i="5" s="1"/>
  <c r="J64" i="5"/>
  <c r="J294" i="5" s="1"/>
  <c r="R64" i="5"/>
  <c r="R294" i="5" s="1"/>
  <c r="G83" i="5"/>
  <c r="G313" i="5" s="1"/>
  <c r="G10" i="5"/>
  <c r="J34" i="5"/>
  <c r="J264" i="5" s="1"/>
  <c r="L64" i="5"/>
  <c r="L294" i="5" s="1"/>
  <c r="H22" i="5"/>
  <c r="H27" i="5"/>
  <c r="H25" i="5"/>
  <c r="K4" i="5"/>
  <c r="N4" i="5"/>
  <c r="N234" i="5" s="1"/>
  <c r="J4" i="5"/>
  <c r="J234" i="5" s="1"/>
  <c r="M4" i="5"/>
  <c r="O4" i="5"/>
  <c r="H4" i="5"/>
  <c r="H234" i="5" s="1"/>
  <c r="P4" i="5"/>
  <c r="P234" i="5" s="1"/>
  <c r="I4" i="5"/>
  <c r="Q4" i="5"/>
  <c r="Q234" i="5" s="1"/>
  <c r="R4" i="5"/>
  <c r="J210" i="5" l="1"/>
  <c r="H211" i="5"/>
  <c r="G212" i="5"/>
  <c r="J211" i="5"/>
  <c r="G210" i="5"/>
  <c r="R213" i="5"/>
  <c r="M291" i="5"/>
  <c r="S291" i="5" s="1"/>
  <c r="O213" i="5"/>
  <c r="S28" i="5"/>
  <c r="O210" i="5"/>
  <c r="S90" i="5"/>
  <c r="P212" i="5"/>
  <c r="G211" i="5"/>
  <c r="K213" i="5"/>
  <c r="Q210" i="5"/>
  <c r="S210" i="5" s="1"/>
  <c r="S290" i="5"/>
  <c r="R211" i="5"/>
  <c r="I212" i="5"/>
  <c r="I210" i="5"/>
  <c r="P213" i="5"/>
  <c r="S30" i="5"/>
  <c r="S289" i="5"/>
  <c r="S91" i="5"/>
  <c r="P261" i="5"/>
  <c r="L210" i="5"/>
  <c r="J213" i="5"/>
  <c r="H261" i="5"/>
  <c r="L260" i="5"/>
  <c r="K260" i="5"/>
  <c r="S88" i="5"/>
  <c r="S60" i="5"/>
  <c r="M211" i="5"/>
  <c r="J260" i="5"/>
  <c r="H213" i="5"/>
  <c r="L213" i="5"/>
  <c r="S61" i="5"/>
  <c r="N258" i="5"/>
  <c r="O259" i="5"/>
  <c r="S259" i="5" s="1"/>
  <c r="I213" i="5"/>
  <c r="S29" i="5"/>
  <c r="S58" i="5"/>
  <c r="S89" i="5"/>
  <c r="N213" i="5"/>
  <c r="P258" i="5"/>
  <c r="O212" i="5"/>
  <c r="J212" i="5"/>
  <c r="S59" i="5"/>
  <c r="L211" i="5"/>
  <c r="Q212" i="5"/>
  <c r="S212" i="5" s="1"/>
  <c r="R210" i="5"/>
  <c r="N211" i="5"/>
  <c r="F67" i="12"/>
  <c r="E26" i="2" s="1"/>
  <c r="H35" i="12"/>
  <c r="H67" i="12" s="1"/>
  <c r="I67" i="12" s="1"/>
  <c r="J67" i="12" s="1"/>
  <c r="F64" i="12"/>
  <c r="E23" i="2" s="1"/>
  <c r="H32" i="12"/>
  <c r="H64" i="12" s="1"/>
  <c r="I64" i="12" s="1"/>
  <c r="J64" i="12" s="1"/>
  <c r="Q9" i="11"/>
  <c r="D8" i="14"/>
  <c r="D8" i="12"/>
  <c r="I15" i="7"/>
  <c r="F61" i="12"/>
  <c r="E20" i="2" s="1"/>
  <c r="H29" i="12"/>
  <c r="H61" i="12" s="1"/>
  <c r="I61" i="12" s="1"/>
  <c r="J61" i="12" s="1"/>
  <c r="F65" i="12"/>
  <c r="E24" i="2" s="1"/>
  <c r="H33" i="12"/>
  <c r="H65" i="12" s="1"/>
  <c r="I65" i="12" s="1"/>
  <c r="J65" i="12" s="1"/>
  <c r="H31" i="12"/>
  <c r="H63" i="12" s="1"/>
  <c r="I63" i="12" s="1"/>
  <c r="J63" i="12" s="1"/>
  <c r="F63" i="12"/>
  <c r="E22" i="2" s="1"/>
  <c r="H30" i="12"/>
  <c r="H62" i="12" s="1"/>
  <c r="I62" i="12" s="1"/>
  <c r="J62" i="12" s="1"/>
  <c r="F62" i="12"/>
  <c r="E21" i="2" s="1"/>
  <c r="N15" i="7"/>
  <c r="F66" i="12"/>
  <c r="E25" i="2" s="1"/>
  <c r="H34" i="12"/>
  <c r="H66" i="12" s="1"/>
  <c r="I66" i="12" s="1"/>
  <c r="J66" i="12" s="1"/>
  <c r="F60" i="12"/>
  <c r="E19" i="2" s="1"/>
  <c r="H28" i="12"/>
  <c r="L4" i="12"/>
  <c r="R75" i="1"/>
  <c r="K15" i="7"/>
  <c r="O10" i="11"/>
  <c r="M10" i="11"/>
  <c r="H15" i="7"/>
  <c r="F15" i="7"/>
  <c r="Q8" i="11"/>
  <c r="N10" i="11"/>
  <c r="G10" i="11"/>
  <c r="F10" i="11"/>
  <c r="L15" i="7"/>
  <c r="L10" i="11"/>
  <c r="Q7" i="11"/>
  <c r="J15" i="7"/>
  <c r="I10" i="11"/>
  <c r="K10" i="11"/>
  <c r="J10" i="11"/>
  <c r="D4" i="7"/>
  <c r="R74" i="1"/>
  <c r="R76" i="1"/>
  <c r="H36" i="9"/>
  <c r="S8" i="11" s="1"/>
  <c r="F5" i="12" s="1"/>
  <c r="R106" i="1"/>
  <c r="R90" i="1"/>
  <c r="R105" i="1"/>
  <c r="L23" i="9"/>
  <c r="R104" i="1"/>
  <c r="R91" i="1"/>
  <c r="R89" i="1"/>
  <c r="C4" i="8" s="1"/>
  <c r="H54" i="9"/>
  <c r="S9" i="11" s="1"/>
  <c r="R87" i="1"/>
  <c r="U87" i="1" s="1"/>
  <c r="R69" i="1"/>
  <c r="U69" i="1" s="1"/>
  <c r="R102" i="1"/>
  <c r="U102" i="1" s="1"/>
  <c r="R79" i="1"/>
  <c r="U79" i="1" s="1"/>
  <c r="R103" i="1"/>
  <c r="U103" i="1" s="1"/>
  <c r="R88" i="1"/>
  <c r="U88" i="1" s="1"/>
  <c r="R66" i="1"/>
  <c r="U66" i="1" s="1"/>
  <c r="R64" i="1"/>
  <c r="U64" i="1" s="1"/>
  <c r="R71" i="1"/>
  <c r="U71" i="1" s="1"/>
  <c r="R99" i="1"/>
  <c r="U99" i="1" s="1"/>
  <c r="R85" i="1"/>
  <c r="U85" i="1" s="1"/>
  <c r="R72" i="1"/>
  <c r="U72" i="1" s="1"/>
  <c r="R81" i="1"/>
  <c r="U81" i="1" s="1"/>
  <c r="R94" i="1"/>
  <c r="U94" i="1" s="1"/>
  <c r="R86" i="1"/>
  <c r="U86" i="1" s="1"/>
  <c r="R100" i="1"/>
  <c r="U100" i="1" s="1"/>
  <c r="R82" i="1"/>
  <c r="U82" i="1" s="1"/>
  <c r="R98" i="1"/>
  <c r="U98" i="1" s="1"/>
  <c r="R80" i="1"/>
  <c r="U80" i="1" s="1"/>
  <c r="R70" i="1"/>
  <c r="U70" i="1" s="1"/>
  <c r="R97" i="1"/>
  <c r="U97" i="1" s="1"/>
  <c r="R83" i="1"/>
  <c r="U83" i="1" s="1"/>
  <c r="R67" i="1"/>
  <c r="U67" i="1" s="1"/>
  <c r="R68" i="1"/>
  <c r="U68" i="1" s="1"/>
  <c r="R73" i="1"/>
  <c r="U73" i="1" s="1"/>
  <c r="R84" i="1"/>
  <c r="U84" i="1" s="1"/>
  <c r="R95" i="1"/>
  <c r="U95" i="1" s="1"/>
  <c r="R65" i="1"/>
  <c r="U65" i="1" s="1"/>
  <c r="R101" i="1"/>
  <c r="U101" i="1" s="1"/>
  <c r="R96" i="1"/>
  <c r="U96" i="1" s="1"/>
  <c r="J59" i="1"/>
  <c r="G282" i="5"/>
  <c r="R39" i="5"/>
  <c r="H83" i="5"/>
  <c r="R38" i="5"/>
  <c r="G314" i="5"/>
  <c r="R37" i="5"/>
  <c r="H84" i="5"/>
  <c r="G312" i="5"/>
  <c r="S258" i="5"/>
  <c r="K186" i="5"/>
  <c r="K234" i="5"/>
  <c r="G317" i="5"/>
  <c r="L186" i="5"/>
  <c r="L264" i="5"/>
  <c r="G287" i="5"/>
  <c r="G257" i="5"/>
  <c r="I186" i="5"/>
  <c r="I234" i="5"/>
  <c r="G92" i="5"/>
  <c r="G158" i="5" s="1"/>
  <c r="R41" i="5"/>
  <c r="I38" i="5"/>
  <c r="I264" i="5"/>
  <c r="S264" i="5" s="1"/>
  <c r="G256" i="5"/>
  <c r="G255" i="5"/>
  <c r="H201" i="5"/>
  <c r="H279" i="5"/>
  <c r="G315" i="5"/>
  <c r="R42" i="5"/>
  <c r="H309" i="5"/>
  <c r="H249" i="5"/>
  <c r="O186" i="5"/>
  <c r="O234" i="5"/>
  <c r="H26" i="5"/>
  <c r="G285" i="5"/>
  <c r="G286" i="5"/>
  <c r="S218" i="5"/>
  <c r="M186" i="5"/>
  <c r="M234" i="5"/>
  <c r="G316" i="5"/>
  <c r="I19" i="5"/>
  <c r="I27" i="5" s="1"/>
  <c r="G206" i="5"/>
  <c r="G341" i="5" s="1"/>
  <c r="G254" i="5"/>
  <c r="G205" i="5"/>
  <c r="G253" i="5"/>
  <c r="R186" i="5"/>
  <c r="R234" i="5"/>
  <c r="Q41" i="5"/>
  <c r="Q264" i="5"/>
  <c r="G284" i="5"/>
  <c r="K67" i="5"/>
  <c r="K294" i="5"/>
  <c r="J186" i="5"/>
  <c r="H116" i="5"/>
  <c r="H113" i="5"/>
  <c r="H115" i="5"/>
  <c r="H112" i="5"/>
  <c r="H312" i="5" s="1"/>
  <c r="H117" i="5"/>
  <c r="H114" i="5"/>
  <c r="Q186" i="5"/>
  <c r="G208" i="5"/>
  <c r="P186" i="5"/>
  <c r="G207" i="5"/>
  <c r="H173" i="5"/>
  <c r="H175" i="5"/>
  <c r="H172" i="5"/>
  <c r="H177" i="5"/>
  <c r="H174" i="5"/>
  <c r="H176" i="5"/>
  <c r="G204" i="5"/>
  <c r="G209" i="5"/>
  <c r="H186" i="5"/>
  <c r="H142" i="5"/>
  <c r="H147" i="5"/>
  <c r="H144" i="5"/>
  <c r="H146" i="5"/>
  <c r="H143" i="5"/>
  <c r="H145" i="5"/>
  <c r="S186" i="5"/>
  <c r="N186" i="5"/>
  <c r="Q162" i="5"/>
  <c r="K162" i="5"/>
  <c r="R161" i="5"/>
  <c r="O159" i="5"/>
  <c r="J161" i="5"/>
  <c r="J162" i="5"/>
  <c r="N160" i="5"/>
  <c r="Q160" i="5"/>
  <c r="O160" i="5"/>
  <c r="O161" i="5"/>
  <c r="R159" i="5"/>
  <c r="R160" i="5"/>
  <c r="S154" i="5"/>
  <c r="G161" i="5"/>
  <c r="I160" i="5"/>
  <c r="G162" i="5"/>
  <c r="G159" i="5"/>
  <c r="I169" i="5"/>
  <c r="I139" i="5"/>
  <c r="I109" i="5"/>
  <c r="Q39" i="5"/>
  <c r="Q40" i="5"/>
  <c r="K72" i="5"/>
  <c r="I39" i="5"/>
  <c r="I41" i="5"/>
  <c r="I40" i="5"/>
  <c r="G62" i="5"/>
  <c r="G32" i="5"/>
  <c r="I37" i="5"/>
  <c r="K71" i="5"/>
  <c r="K68" i="5"/>
  <c r="I42" i="5"/>
  <c r="Q42" i="5"/>
  <c r="S34" i="5"/>
  <c r="Q38" i="5"/>
  <c r="Q37" i="5"/>
  <c r="K69" i="5"/>
  <c r="K70" i="5"/>
  <c r="Q67" i="5"/>
  <c r="Q72" i="5"/>
  <c r="Q69" i="5"/>
  <c r="Q71" i="5"/>
  <c r="Q70" i="5"/>
  <c r="Q68" i="5"/>
  <c r="O11" i="5"/>
  <c r="O10" i="5"/>
  <c r="O8" i="5"/>
  <c r="O12" i="5"/>
  <c r="O9" i="5"/>
  <c r="O7" i="5"/>
  <c r="L72" i="5"/>
  <c r="L71" i="5"/>
  <c r="L68" i="5"/>
  <c r="L69" i="5"/>
  <c r="L70" i="5"/>
  <c r="L67" i="5"/>
  <c r="I70" i="5"/>
  <c r="I67" i="5"/>
  <c r="I72" i="5"/>
  <c r="I69" i="5"/>
  <c r="I71" i="5"/>
  <c r="I68" i="5"/>
  <c r="I49" i="5"/>
  <c r="H56" i="5"/>
  <c r="H55" i="5"/>
  <c r="H52" i="5"/>
  <c r="H57" i="5"/>
  <c r="H53" i="5"/>
  <c r="H54" i="5"/>
  <c r="J10" i="5"/>
  <c r="J8" i="5"/>
  <c r="J12" i="5"/>
  <c r="J9" i="5"/>
  <c r="J7" i="5"/>
  <c r="J11" i="5"/>
  <c r="H68" i="5"/>
  <c r="H70" i="5"/>
  <c r="H67" i="5"/>
  <c r="H72" i="5"/>
  <c r="H69" i="5"/>
  <c r="H71" i="5"/>
  <c r="J79" i="5"/>
  <c r="I82" i="5"/>
  <c r="I84" i="5"/>
  <c r="I86" i="5"/>
  <c r="I83" i="5"/>
  <c r="I85" i="5"/>
  <c r="I87" i="5"/>
  <c r="R10" i="5"/>
  <c r="R8" i="5"/>
  <c r="R12" i="5"/>
  <c r="R9" i="5"/>
  <c r="R7" i="5"/>
  <c r="R11" i="5"/>
  <c r="N7" i="5"/>
  <c r="N10" i="5"/>
  <c r="N8" i="5"/>
  <c r="N12" i="5"/>
  <c r="N11" i="5"/>
  <c r="N9" i="5"/>
  <c r="P40" i="5"/>
  <c r="P42" i="5"/>
  <c r="P37" i="5"/>
  <c r="P39" i="5"/>
  <c r="P41" i="5"/>
  <c r="P38" i="5"/>
  <c r="O40" i="5"/>
  <c r="O42" i="5"/>
  <c r="O37" i="5"/>
  <c r="O39" i="5"/>
  <c r="O41" i="5"/>
  <c r="O38" i="5"/>
  <c r="O71" i="5"/>
  <c r="O70" i="5"/>
  <c r="O67" i="5"/>
  <c r="O72" i="5"/>
  <c r="O69" i="5"/>
  <c r="O68" i="5"/>
  <c r="N68" i="5"/>
  <c r="N70" i="5"/>
  <c r="N67" i="5"/>
  <c r="N72" i="5"/>
  <c r="N69" i="5"/>
  <c r="N71" i="5"/>
  <c r="H10" i="5"/>
  <c r="H8" i="5"/>
  <c r="H12" i="5"/>
  <c r="H9" i="5"/>
  <c r="H7" i="5"/>
  <c r="H11" i="5"/>
  <c r="J42" i="5"/>
  <c r="J37" i="5"/>
  <c r="J41" i="5"/>
  <c r="J38" i="5"/>
  <c r="J40" i="5"/>
  <c r="J39" i="5"/>
  <c r="K9" i="5"/>
  <c r="K7" i="5"/>
  <c r="K11" i="5"/>
  <c r="K12" i="5"/>
  <c r="K10" i="5"/>
  <c r="K8" i="5"/>
  <c r="S64" i="5"/>
  <c r="J70" i="5"/>
  <c r="J72" i="5"/>
  <c r="J67" i="5"/>
  <c r="J69" i="5"/>
  <c r="J71" i="5"/>
  <c r="J68" i="5"/>
  <c r="M41" i="5"/>
  <c r="M40" i="5"/>
  <c r="M38" i="5"/>
  <c r="M42" i="5"/>
  <c r="M37" i="5"/>
  <c r="M39" i="5"/>
  <c r="M69" i="5"/>
  <c r="M71" i="5"/>
  <c r="M68" i="5"/>
  <c r="M70" i="5"/>
  <c r="M67" i="5"/>
  <c r="M72" i="5"/>
  <c r="M9" i="5"/>
  <c r="M11" i="5"/>
  <c r="M10" i="5"/>
  <c r="M8" i="5"/>
  <c r="M7" i="5"/>
  <c r="M12" i="5"/>
  <c r="P68" i="5"/>
  <c r="P70" i="5"/>
  <c r="P67" i="5"/>
  <c r="P72" i="5"/>
  <c r="P69" i="5"/>
  <c r="P71" i="5"/>
  <c r="Q12" i="5"/>
  <c r="Q9" i="5"/>
  <c r="Q7" i="5"/>
  <c r="Q11" i="5"/>
  <c r="Q10" i="5"/>
  <c r="Q8" i="5"/>
  <c r="H40" i="5"/>
  <c r="H42" i="5"/>
  <c r="H37" i="5"/>
  <c r="H39" i="5"/>
  <c r="H41" i="5"/>
  <c r="H38" i="5"/>
  <c r="I12" i="5"/>
  <c r="I10" i="5"/>
  <c r="I8" i="5"/>
  <c r="I9" i="5"/>
  <c r="I7" i="5"/>
  <c r="I11" i="5"/>
  <c r="P10" i="5"/>
  <c r="P8" i="5"/>
  <c r="P12" i="5"/>
  <c r="P9" i="5"/>
  <c r="P7" i="5"/>
  <c r="P11" i="5"/>
  <c r="R70" i="5"/>
  <c r="R72" i="5"/>
  <c r="R69" i="5"/>
  <c r="R71" i="5"/>
  <c r="R67" i="5"/>
  <c r="R68" i="5"/>
  <c r="N38" i="5"/>
  <c r="N40" i="5"/>
  <c r="N42" i="5"/>
  <c r="N37" i="5"/>
  <c r="N39" i="5"/>
  <c r="N41" i="5"/>
  <c r="L38" i="5"/>
  <c r="L40" i="5"/>
  <c r="L42" i="5"/>
  <c r="L37" i="5"/>
  <c r="L39" i="5"/>
  <c r="L41" i="5"/>
  <c r="K39" i="5"/>
  <c r="K41" i="5"/>
  <c r="K38" i="5"/>
  <c r="K40" i="5"/>
  <c r="K42" i="5"/>
  <c r="K37" i="5"/>
  <c r="S4" i="5"/>
  <c r="S213" i="5" l="1"/>
  <c r="S261" i="5"/>
  <c r="S260" i="5"/>
  <c r="S211" i="5"/>
  <c r="H317" i="5"/>
  <c r="H256" i="5"/>
  <c r="D91" i="12"/>
  <c r="L21" i="2"/>
  <c r="K21" i="2"/>
  <c r="C9" i="8"/>
  <c r="L22" i="2"/>
  <c r="K22" i="2"/>
  <c r="H60" i="12"/>
  <c r="H57" i="12"/>
  <c r="L19" i="2"/>
  <c r="K19" i="2"/>
  <c r="L24" i="2"/>
  <c r="M24" i="2" s="1"/>
  <c r="K24" i="2"/>
  <c r="K23" i="2"/>
  <c r="L23" i="2"/>
  <c r="M23" i="2" s="1"/>
  <c r="L25" i="2"/>
  <c r="M25" i="2" s="1"/>
  <c r="K25" i="2"/>
  <c r="K20" i="2"/>
  <c r="L20" i="2"/>
  <c r="M20" i="2" s="1"/>
  <c r="L26" i="2"/>
  <c r="M26" i="2" s="1"/>
  <c r="K26" i="2"/>
  <c r="J12" i="11"/>
  <c r="F12" i="11"/>
  <c r="L5" i="12"/>
  <c r="H12" i="11"/>
  <c r="Y9" i="11"/>
  <c r="F6" i="12"/>
  <c r="P12" i="11"/>
  <c r="E12" i="11"/>
  <c r="C14" i="8"/>
  <c r="C19" i="8" s="1"/>
  <c r="L12" i="11"/>
  <c r="G12" i="11"/>
  <c r="N12" i="11"/>
  <c r="M12" i="11"/>
  <c r="I12" i="11"/>
  <c r="O12" i="11"/>
  <c r="K12" i="11"/>
  <c r="Q10" i="11"/>
  <c r="Y7" i="11"/>
  <c r="Y8" i="11"/>
  <c r="D6" i="7"/>
  <c r="D5" i="7"/>
  <c r="U107" i="1"/>
  <c r="K59" i="1"/>
  <c r="G157" i="5"/>
  <c r="G182" i="5" s="1"/>
  <c r="H313" i="5"/>
  <c r="H316" i="5"/>
  <c r="H254" i="5"/>
  <c r="H314" i="5"/>
  <c r="I309" i="5"/>
  <c r="H257" i="5"/>
  <c r="H255" i="5"/>
  <c r="I249" i="5"/>
  <c r="I26" i="5"/>
  <c r="I32" i="5" s="1"/>
  <c r="H204" i="5"/>
  <c r="H282" i="5"/>
  <c r="H207" i="5"/>
  <c r="H285" i="5"/>
  <c r="H208" i="5"/>
  <c r="H286" i="5"/>
  <c r="I24" i="5"/>
  <c r="I22" i="5"/>
  <c r="S234" i="5"/>
  <c r="J19" i="5"/>
  <c r="J24" i="5" s="1"/>
  <c r="H315" i="5"/>
  <c r="H252" i="5"/>
  <c r="I92" i="5"/>
  <c r="I158" i="5" s="1"/>
  <c r="I25" i="5"/>
  <c r="H92" i="5"/>
  <c r="H157" i="5" s="1"/>
  <c r="I201" i="5"/>
  <c r="I279" i="5"/>
  <c r="H253" i="5"/>
  <c r="H206" i="5"/>
  <c r="H284" i="5"/>
  <c r="S294" i="5"/>
  <c r="H205" i="5"/>
  <c r="H283" i="5"/>
  <c r="H209" i="5"/>
  <c r="H287" i="5"/>
  <c r="I23" i="5"/>
  <c r="I162" i="5"/>
  <c r="I116" i="5"/>
  <c r="I113" i="5"/>
  <c r="I115" i="5"/>
  <c r="I112" i="5"/>
  <c r="I312" i="5" s="1"/>
  <c r="I117" i="5"/>
  <c r="I257" i="5" s="1"/>
  <c r="I114" i="5"/>
  <c r="I147" i="5"/>
  <c r="I144" i="5"/>
  <c r="I146" i="5"/>
  <c r="I143" i="5"/>
  <c r="I145" i="5"/>
  <c r="I142" i="5"/>
  <c r="I175" i="5"/>
  <c r="I172" i="5"/>
  <c r="I177" i="5"/>
  <c r="I174" i="5"/>
  <c r="I314" i="5" s="1"/>
  <c r="I176" i="5"/>
  <c r="I173" i="5"/>
  <c r="G219" i="5"/>
  <c r="S160" i="5"/>
  <c r="J169" i="5"/>
  <c r="J139" i="5"/>
  <c r="J109" i="5"/>
  <c r="S39" i="5"/>
  <c r="H32" i="5"/>
  <c r="S11" i="5"/>
  <c r="S37" i="5"/>
  <c r="S67" i="5"/>
  <c r="S38" i="5"/>
  <c r="S42" i="5"/>
  <c r="S7" i="5"/>
  <c r="S40" i="5"/>
  <c r="S68" i="5"/>
  <c r="I53" i="5"/>
  <c r="I55" i="5"/>
  <c r="I52" i="5"/>
  <c r="I57" i="5"/>
  <c r="I54" i="5"/>
  <c r="I56" i="5"/>
  <c r="I286" i="5" s="1"/>
  <c r="J49" i="5"/>
  <c r="S69" i="5"/>
  <c r="S12" i="5"/>
  <c r="S41" i="5"/>
  <c r="S8" i="5"/>
  <c r="S71" i="5"/>
  <c r="S9" i="5"/>
  <c r="S70" i="5"/>
  <c r="H62" i="5"/>
  <c r="K79" i="5"/>
  <c r="J87" i="5"/>
  <c r="J86" i="5"/>
  <c r="J83" i="5"/>
  <c r="J84" i="5"/>
  <c r="J85" i="5"/>
  <c r="J82" i="5"/>
  <c r="S72" i="5"/>
  <c r="S10" i="5"/>
  <c r="H219" i="5" l="1"/>
  <c r="M19" i="2"/>
  <c r="M29" i="2" s="1"/>
  <c r="D10" i="13" s="1"/>
  <c r="E10" i="13" s="1"/>
  <c r="L29" i="2"/>
  <c r="I60" i="12"/>
  <c r="H70" i="12"/>
  <c r="M22" i="2"/>
  <c r="K29" i="2"/>
  <c r="M21" i="2"/>
  <c r="Y10" i="11"/>
  <c r="Y11" i="11" s="1"/>
  <c r="L6" i="12"/>
  <c r="L7" i="12" s="1"/>
  <c r="Q12" i="11"/>
  <c r="L59" i="1"/>
  <c r="I284" i="5"/>
  <c r="J309" i="5"/>
  <c r="I256" i="5"/>
  <c r="I313" i="5"/>
  <c r="I317" i="5"/>
  <c r="I315" i="5"/>
  <c r="I316" i="5"/>
  <c r="I209" i="5"/>
  <c r="I287" i="5"/>
  <c r="I208" i="5"/>
  <c r="I204" i="5"/>
  <c r="I219" i="5" s="1"/>
  <c r="I282" i="5"/>
  <c r="I206" i="5"/>
  <c r="H158" i="5"/>
  <c r="H182" i="5" s="1"/>
  <c r="I252" i="5"/>
  <c r="I157" i="5"/>
  <c r="I182" i="5" s="1"/>
  <c r="J249" i="5"/>
  <c r="J26" i="5"/>
  <c r="J23" i="5"/>
  <c r="J22" i="5"/>
  <c r="J25" i="5"/>
  <c r="K19" i="5"/>
  <c r="J27" i="5"/>
  <c r="I207" i="5"/>
  <c r="I285" i="5"/>
  <c r="I254" i="5"/>
  <c r="I205" i="5"/>
  <c r="I283" i="5"/>
  <c r="I255" i="5"/>
  <c r="J201" i="5"/>
  <c r="J279" i="5"/>
  <c r="J92" i="5"/>
  <c r="I253" i="5"/>
  <c r="J157" i="5"/>
  <c r="J158" i="5"/>
  <c r="J175" i="5"/>
  <c r="J172" i="5"/>
  <c r="J177" i="5"/>
  <c r="J174" i="5"/>
  <c r="J176" i="5"/>
  <c r="J173" i="5"/>
  <c r="J113" i="5"/>
  <c r="J313" i="5" s="1"/>
  <c r="J115" i="5"/>
  <c r="J112" i="5"/>
  <c r="J117" i="5"/>
  <c r="J114" i="5"/>
  <c r="J116" i="5"/>
  <c r="J144" i="5"/>
  <c r="J146" i="5"/>
  <c r="J143" i="5"/>
  <c r="J145" i="5"/>
  <c r="J142" i="5"/>
  <c r="J312" i="5" s="1"/>
  <c r="J147" i="5"/>
  <c r="G132" i="5"/>
  <c r="G130" i="5"/>
  <c r="G129" i="5"/>
  <c r="G127" i="5"/>
  <c r="G131" i="5"/>
  <c r="G128" i="5"/>
  <c r="I100" i="5"/>
  <c r="I102" i="5"/>
  <c r="I101" i="5"/>
  <c r="I99" i="5"/>
  <c r="I97" i="5"/>
  <c r="I98" i="5"/>
  <c r="J100" i="5"/>
  <c r="J102" i="5"/>
  <c r="J101" i="5"/>
  <c r="J99" i="5"/>
  <c r="G102" i="5"/>
  <c r="G101" i="5"/>
  <c r="G99" i="5"/>
  <c r="G97" i="5"/>
  <c r="G98" i="5"/>
  <c r="G100" i="5"/>
  <c r="K169" i="5"/>
  <c r="K139" i="5"/>
  <c r="K109" i="5"/>
  <c r="K309" i="5" s="1"/>
  <c r="I62" i="5"/>
  <c r="K49" i="5"/>
  <c r="J52" i="5"/>
  <c r="J282" i="5" s="1"/>
  <c r="J57" i="5"/>
  <c r="J287" i="5" s="1"/>
  <c r="J54" i="5"/>
  <c r="J56" i="5"/>
  <c r="J55" i="5"/>
  <c r="J53" i="5"/>
  <c r="L79" i="5"/>
  <c r="K84" i="5"/>
  <c r="K86" i="5"/>
  <c r="K83" i="5"/>
  <c r="K85" i="5"/>
  <c r="K82" i="5"/>
  <c r="K87" i="5"/>
  <c r="J60" i="12" l="1"/>
  <c r="J70" i="12" s="1"/>
  <c r="D11" i="13" s="1"/>
  <c r="E11" i="13" s="1"/>
  <c r="I70" i="12"/>
  <c r="M59" i="1"/>
  <c r="J315" i="5"/>
  <c r="J316" i="5"/>
  <c r="J317" i="5"/>
  <c r="J314" i="5"/>
  <c r="J32" i="5"/>
  <c r="J97" i="5" s="1"/>
  <c r="G242" i="5"/>
  <c r="G272" i="5"/>
  <c r="G302" i="5"/>
  <c r="J257" i="5"/>
  <c r="J283" i="5"/>
  <c r="G240" i="5"/>
  <c r="G270" i="5"/>
  <c r="G300" i="5"/>
  <c r="J206" i="5"/>
  <c r="K249" i="5"/>
  <c r="K23" i="5"/>
  <c r="L19" i="5"/>
  <c r="K26" i="5"/>
  <c r="K25" i="5"/>
  <c r="K24" i="5"/>
  <c r="K22" i="5"/>
  <c r="K27" i="5"/>
  <c r="J254" i="5"/>
  <c r="K92" i="5"/>
  <c r="K157" i="5" s="1"/>
  <c r="J285" i="5"/>
  <c r="G190" i="5"/>
  <c r="G238" i="5"/>
  <c r="G268" i="5"/>
  <c r="G298" i="5"/>
  <c r="J255" i="5"/>
  <c r="J252" i="5"/>
  <c r="K201" i="5"/>
  <c r="K279" i="5"/>
  <c r="J208" i="5"/>
  <c r="J286" i="5"/>
  <c r="G189" i="5"/>
  <c r="G267" i="5"/>
  <c r="G297" i="5"/>
  <c r="G237" i="5"/>
  <c r="J284" i="5"/>
  <c r="G269" i="5"/>
  <c r="G239" i="5"/>
  <c r="G299" i="5"/>
  <c r="J253" i="5"/>
  <c r="G193" i="5"/>
  <c r="G301" i="5"/>
  <c r="G241" i="5"/>
  <c r="G271" i="5"/>
  <c r="J256" i="5"/>
  <c r="G191" i="5"/>
  <c r="K172" i="5"/>
  <c r="K177" i="5"/>
  <c r="K174" i="5"/>
  <c r="K176" i="5"/>
  <c r="K173" i="5"/>
  <c r="K175" i="5"/>
  <c r="G192" i="5"/>
  <c r="J209" i="5"/>
  <c r="J205" i="5"/>
  <c r="J207" i="5"/>
  <c r="J204" i="5"/>
  <c r="K115" i="5"/>
  <c r="K112" i="5"/>
  <c r="K117" i="5"/>
  <c r="K114" i="5"/>
  <c r="K116" i="5"/>
  <c r="K113" i="5"/>
  <c r="K313" i="5" s="1"/>
  <c r="G194" i="5"/>
  <c r="K146" i="5"/>
  <c r="K143" i="5"/>
  <c r="K145" i="5"/>
  <c r="K142" i="5"/>
  <c r="K312" i="5" s="1"/>
  <c r="K147" i="5"/>
  <c r="K144" i="5"/>
  <c r="J182" i="5"/>
  <c r="K101" i="5"/>
  <c r="K100" i="5"/>
  <c r="K102" i="5"/>
  <c r="K99" i="5"/>
  <c r="I122" i="5"/>
  <c r="G122" i="5"/>
  <c r="G152" i="5"/>
  <c r="H130" i="5"/>
  <c r="H127" i="5"/>
  <c r="H129" i="5"/>
  <c r="H131" i="5"/>
  <c r="H128" i="5"/>
  <c r="H132" i="5"/>
  <c r="H100" i="5"/>
  <c r="H99" i="5"/>
  <c r="H97" i="5"/>
  <c r="H98" i="5"/>
  <c r="H102" i="5"/>
  <c r="H101" i="5"/>
  <c r="L169" i="5"/>
  <c r="L139" i="5"/>
  <c r="L109" i="5"/>
  <c r="L309" i="5" s="1"/>
  <c r="L49" i="5"/>
  <c r="L279" i="5" s="1"/>
  <c r="K55" i="5"/>
  <c r="K57" i="5"/>
  <c r="K54" i="5"/>
  <c r="K56" i="5"/>
  <c r="K53" i="5"/>
  <c r="K52" i="5"/>
  <c r="M79" i="5"/>
  <c r="L83" i="5"/>
  <c r="L85" i="5"/>
  <c r="L82" i="5"/>
  <c r="L87" i="5"/>
  <c r="L86" i="5"/>
  <c r="L84" i="5"/>
  <c r="J62" i="5"/>
  <c r="K158" i="5" l="1"/>
  <c r="K182" i="5" s="1"/>
  <c r="J98" i="5"/>
  <c r="J122" i="5" s="1"/>
  <c r="D79" i="12"/>
  <c r="G333" i="5"/>
  <c r="N59" i="1"/>
  <c r="K287" i="5"/>
  <c r="G322" i="5"/>
  <c r="K316" i="5"/>
  <c r="K314" i="5"/>
  <c r="K317" i="5"/>
  <c r="K286" i="5"/>
  <c r="K315" i="5"/>
  <c r="K255" i="5"/>
  <c r="K285" i="5"/>
  <c r="H298" i="5"/>
  <c r="H238" i="5"/>
  <c r="H268" i="5"/>
  <c r="G292" i="5"/>
  <c r="K256" i="5"/>
  <c r="H189" i="5"/>
  <c r="H237" i="5"/>
  <c r="H297" i="5"/>
  <c r="H267" i="5"/>
  <c r="L249" i="5"/>
  <c r="M19" i="5"/>
  <c r="L22" i="5"/>
  <c r="L24" i="5"/>
  <c r="L23" i="5"/>
  <c r="L25" i="5"/>
  <c r="L27" i="5"/>
  <c r="L26" i="5"/>
  <c r="H191" i="5"/>
  <c r="H239" i="5"/>
  <c r="H299" i="5"/>
  <c r="H269" i="5"/>
  <c r="K253" i="5"/>
  <c r="H242" i="5"/>
  <c r="H272" i="5"/>
  <c r="H302" i="5"/>
  <c r="H192" i="5"/>
  <c r="H300" i="5"/>
  <c r="H270" i="5"/>
  <c r="H240" i="5"/>
  <c r="K204" i="5"/>
  <c r="K282" i="5"/>
  <c r="K205" i="5"/>
  <c r="K283" i="5"/>
  <c r="K257" i="5"/>
  <c r="G217" i="5"/>
  <c r="G220" i="5" s="1"/>
  <c r="K252" i="5"/>
  <c r="K32" i="5"/>
  <c r="L92" i="5"/>
  <c r="L158" i="5" s="1"/>
  <c r="K206" i="5"/>
  <c r="K284" i="5"/>
  <c r="H193" i="5"/>
  <c r="H271" i="5"/>
  <c r="H241" i="5"/>
  <c r="H301" i="5"/>
  <c r="G262" i="5"/>
  <c r="K254" i="5"/>
  <c r="L161" i="5"/>
  <c r="S161" i="5" s="1"/>
  <c r="K209" i="5"/>
  <c r="H194" i="5"/>
  <c r="L146" i="5"/>
  <c r="L143" i="5"/>
  <c r="L145" i="5"/>
  <c r="L142" i="5"/>
  <c r="L147" i="5"/>
  <c r="L144" i="5"/>
  <c r="K207" i="5"/>
  <c r="H122" i="5"/>
  <c r="H190" i="5"/>
  <c r="H152" i="5"/>
  <c r="G214" i="5"/>
  <c r="L201" i="5"/>
  <c r="J219" i="5"/>
  <c r="L115" i="5"/>
  <c r="L112" i="5"/>
  <c r="L117" i="5"/>
  <c r="L114" i="5"/>
  <c r="L314" i="5" s="1"/>
  <c r="L116" i="5"/>
  <c r="L113" i="5"/>
  <c r="L313" i="5" s="1"/>
  <c r="K208" i="5"/>
  <c r="L177" i="5"/>
  <c r="L174" i="5"/>
  <c r="L176" i="5"/>
  <c r="L173" i="5"/>
  <c r="L175" i="5"/>
  <c r="L172" i="5"/>
  <c r="L102" i="5"/>
  <c r="L101" i="5"/>
  <c r="L100" i="5"/>
  <c r="L99" i="5"/>
  <c r="I130" i="5"/>
  <c r="I132" i="5"/>
  <c r="I127" i="5"/>
  <c r="I131" i="5"/>
  <c r="I129" i="5"/>
  <c r="I128" i="5"/>
  <c r="M99" i="5"/>
  <c r="M102" i="5"/>
  <c r="M101" i="5"/>
  <c r="M100" i="5"/>
  <c r="M169" i="5"/>
  <c r="M139" i="5"/>
  <c r="M109" i="5"/>
  <c r="N79" i="5"/>
  <c r="M86" i="5"/>
  <c r="M83" i="5"/>
  <c r="M85" i="5"/>
  <c r="M82" i="5"/>
  <c r="M87" i="5"/>
  <c r="M84" i="5"/>
  <c r="M49" i="5"/>
  <c r="L52" i="5"/>
  <c r="L57" i="5"/>
  <c r="L54" i="5"/>
  <c r="L56" i="5"/>
  <c r="L53" i="5"/>
  <c r="L55" i="5"/>
  <c r="K62" i="5"/>
  <c r="G324" i="5" l="1"/>
  <c r="G329" i="5" s="1"/>
  <c r="O59" i="1"/>
  <c r="L157" i="5"/>
  <c r="M309" i="5"/>
  <c r="H217" i="5"/>
  <c r="H220" i="5" s="1"/>
  <c r="L317" i="5"/>
  <c r="L316" i="5"/>
  <c r="L312" i="5"/>
  <c r="G325" i="5"/>
  <c r="L315" i="5"/>
  <c r="L256" i="5"/>
  <c r="H292" i="5"/>
  <c r="K98" i="5"/>
  <c r="K97" i="5"/>
  <c r="L257" i="5"/>
  <c r="H322" i="5"/>
  <c r="L255" i="5"/>
  <c r="H262" i="5"/>
  <c r="L205" i="5"/>
  <c r="L283" i="5"/>
  <c r="L208" i="5"/>
  <c r="L286" i="5"/>
  <c r="K219" i="5"/>
  <c r="L253" i="5"/>
  <c r="L207" i="5"/>
  <c r="L285" i="5"/>
  <c r="L206" i="5"/>
  <c r="L284" i="5"/>
  <c r="I191" i="5"/>
  <c r="I269" i="5"/>
  <c r="I239" i="5"/>
  <c r="I299" i="5"/>
  <c r="L287" i="5"/>
  <c r="I193" i="5"/>
  <c r="I241" i="5"/>
  <c r="I301" i="5"/>
  <c r="I271" i="5"/>
  <c r="H214" i="5"/>
  <c r="L254" i="5"/>
  <c r="L252" i="5"/>
  <c r="M92" i="5"/>
  <c r="M157" i="5" s="1"/>
  <c r="I190" i="5"/>
  <c r="I268" i="5"/>
  <c r="I238" i="5"/>
  <c r="I298" i="5"/>
  <c r="L282" i="5"/>
  <c r="I189" i="5"/>
  <c r="I237" i="5"/>
  <c r="I297" i="5"/>
  <c r="I267" i="5"/>
  <c r="I194" i="5"/>
  <c r="I302" i="5"/>
  <c r="I242" i="5"/>
  <c r="I272" i="5"/>
  <c r="L32" i="5"/>
  <c r="M249" i="5"/>
  <c r="M23" i="5"/>
  <c r="M26" i="5"/>
  <c r="M27" i="5"/>
  <c r="M24" i="5"/>
  <c r="M25" i="5"/>
  <c r="M32" i="5" s="1"/>
  <c r="N19" i="5"/>
  <c r="M22" i="5"/>
  <c r="M201" i="5"/>
  <c r="M279" i="5"/>
  <c r="I192" i="5"/>
  <c r="I300" i="5"/>
  <c r="I270" i="5"/>
  <c r="I240" i="5"/>
  <c r="L204" i="5"/>
  <c r="L209" i="5"/>
  <c r="M112" i="5"/>
  <c r="M117" i="5"/>
  <c r="M114" i="5"/>
  <c r="M116" i="5"/>
  <c r="M113" i="5"/>
  <c r="M313" i="5" s="1"/>
  <c r="M115" i="5"/>
  <c r="M143" i="5"/>
  <c r="M145" i="5"/>
  <c r="M142" i="5"/>
  <c r="M147" i="5"/>
  <c r="M144" i="5"/>
  <c r="M146" i="5"/>
  <c r="M174" i="5"/>
  <c r="M176" i="5"/>
  <c r="M173" i="5"/>
  <c r="M175" i="5"/>
  <c r="M172" i="5"/>
  <c r="M177" i="5"/>
  <c r="L182" i="5"/>
  <c r="I152" i="5"/>
  <c r="N102" i="5"/>
  <c r="N101" i="5"/>
  <c r="N99" i="5"/>
  <c r="N100" i="5"/>
  <c r="J127" i="5"/>
  <c r="J132" i="5"/>
  <c r="J129" i="5"/>
  <c r="J130" i="5"/>
  <c r="J128" i="5"/>
  <c r="J131" i="5"/>
  <c r="N169" i="5"/>
  <c r="N139" i="5"/>
  <c r="N109" i="5"/>
  <c r="N309" i="5" s="1"/>
  <c r="L62" i="5"/>
  <c r="N49" i="5"/>
  <c r="M57" i="5"/>
  <c r="M54" i="5"/>
  <c r="M56" i="5"/>
  <c r="M53" i="5"/>
  <c r="M55" i="5"/>
  <c r="M52" i="5"/>
  <c r="O79" i="5"/>
  <c r="N83" i="5"/>
  <c r="N85" i="5"/>
  <c r="N82" i="5"/>
  <c r="N87" i="5"/>
  <c r="N84" i="5"/>
  <c r="N86" i="5"/>
  <c r="M158" i="5" l="1"/>
  <c r="M314" i="5"/>
  <c r="Q59" i="1"/>
  <c r="P59" i="1"/>
  <c r="R56" i="1"/>
  <c r="M252" i="5"/>
  <c r="I217" i="5"/>
  <c r="I220" i="5" s="1"/>
  <c r="M316" i="5"/>
  <c r="M317" i="5"/>
  <c r="M312" i="5"/>
  <c r="M285" i="5"/>
  <c r="M315" i="5"/>
  <c r="I292" i="5"/>
  <c r="N249" i="5"/>
  <c r="N25" i="5"/>
  <c r="N27" i="5"/>
  <c r="N26" i="5"/>
  <c r="N24" i="5"/>
  <c r="O19" i="5"/>
  <c r="N22" i="5"/>
  <c r="N23" i="5"/>
  <c r="I322" i="5"/>
  <c r="M206" i="5"/>
  <c r="M284" i="5"/>
  <c r="J193" i="5"/>
  <c r="J241" i="5"/>
  <c r="J301" i="5"/>
  <c r="J271" i="5"/>
  <c r="M255" i="5"/>
  <c r="I262" i="5"/>
  <c r="J189" i="5"/>
  <c r="J297" i="5"/>
  <c r="J267" i="5"/>
  <c r="J237" i="5"/>
  <c r="M205" i="5"/>
  <c r="M283" i="5"/>
  <c r="M286" i="5"/>
  <c r="J190" i="5"/>
  <c r="J268" i="5"/>
  <c r="J298" i="5"/>
  <c r="J238" i="5"/>
  <c r="J192" i="5"/>
  <c r="J270" i="5"/>
  <c r="J240" i="5"/>
  <c r="J300" i="5"/>
  <c r="I214" i="5"/>
  <c r="M257" i="5"/>
  <c r="M97" i="5"/>
  <c r="M98" i="5"/>
  <c r="K122" i="5"/>
  <c r="N279" i="5"/>
  <c r="J191" i="5"/>
  <c r="J269" i="5"/>
  <c r="J299" i="5"/>
  <c r="J239" i="5"/>
  <c r="M256" i="5"/>
  <c r="H324" i="5"/>
  <c r="N92" i="5"/>
  <c r="N158" i="5" s="1"/>
  <c r="L97" i="5"/>
  <c r="L98" i="5"/>
  <c r="M209" i="5"/>
  <c r="M287" i="5"/>
  <c r="L219" i="5"/>
  <c r="M254" i="5"/>
  <c r="M282" i="5"/>
  <c r="J194" i="5"/>
  <c r="J302" i="5"/>
  <c r="J272" i="5"/>
  <c r="J242" i="5"/>
  <c r="M253" i="5"/>
  <c r="N159" i="5"/>
  <c r="S159" i="5" s="1"/>
  <c r="N201" i="5"/>
  <c r="M204" i="5"/>
  <c r="M207" i="5"/>
  <c r="N117" i="5"/>
  <c r="N114" i="5"/>
  <c r="N116" i="5"/>
  <c r="N113" i="5"/>
  <c r="N115" i="5"/>
  <c r="N112" i="5"/>
  <c r="N312" i="5" s="1"/>
  <c r="N145" i="5"/>
  <c r="N142" i="5"/>
  <c r="N147" i="5"/>
  <c r="N144" i="5"/>
  <c r="N146" i="5"/>
  <c r="N143" i="5"/>
  <c r="M208" i="5"/>
  <c r="N176" i="5"/>
  <c r="N173" i="5"/>
  <c r="N175" i="5"/>
  <c r="N172" i="5"/>
  <c r="N177" i="5"/>
  <c r="N174" i="5"/>
  <c r="M182" i="5"/>
  <c r="J152" i="5"/>
  <c r="O102" i="5"/>
  <c r="O101" i="5"/>
  <c r="O99" i="5"/>
  <c r="O100" i="5"/>
  <c r="K131" i="5"/>
  <c r="K128" i="5"/>
  <c r="K190" i="5" s="1"/>
  <c r="K130" i="5"/>
  <c r="K127" i="5"/>
  <c r="K189" i="5" s="1"/>
  <c r="K129" i="5"/>
  <c r="K132" i="5"/>
  <c r="O169" i="5"/>
  <c r="O139" i="5"/>
  <c r="O109" i="5"/>
  <c r="O309" i="5" s="1"/>
  <c r="M62" i="5"/>
  <c r="P79" i="5"/>
  <c r="O85" i="5"/>
  <c r="O82" i="5"/>
  <c r="O87" i="5"/>
  <c r="O84" i="5"/>
  <c r="O86" i="5"/>
  <c r="O83" i="5"/>
  <c r="O49" i="5"/>
  <c r="O279" i="5" s="1"/>
  <c r="N54" i="5"/>
  <c r="N56" i="5"/>
  <c r="N53" i="5"/>
  <c r="N55" i="5"/>
  <c r="N52" i="5"/>
  <c r="N57" i="5"/>
  <c r="N287" i="5" s="1"/>
  <c r="J214" i="5" l="1"/>
  <c r="N316" i="5"/>
  <c r="H325" i="5"/>
  <c r="H329" i="5"/>
  <c r="M122" i="5"/>
  <c r="R59" i="1"/>
  <c r="P12" i="7"/>
  <c r="P15" i="7" s="1"/>
  <c r="N282" i="5"/>
  <c r="N315" i="5"/>
  <c r="N313" i="5"/>
  <c r="N317" i="5"/>
  <c r="J217" i="5"/>
  <c r="J220" i="5" s="1"/>
  <c r="K297" i="5"/>
  <c r="N253" i="5"/>
  <c r="K193" i="5"/>
  <c r="K301" i="5"/>
  <c r="K271" i="5"/>
  <c r="K241" i="5"/>
  <c r="K267" i="5"/>
  <c r="N252" i="5"/>
  <c r="K237" i="5"/>
  <c r="O249" i="5"/>
  <c r="O26" i="5"/>
  <c r="O32" i="5" s="1"/>
  <c r="P19" i="5"/>
  <c r="O22" i="5"/>
  <c r="O27" i="5"/>
  <c r="O24" i="5"/>
  <c r="O25" i="5"/>
  <c r="O23" i="5"/>
  <c r="N157" i="5"/>
  <c r="N182" i="5" s="1"/>
  <c r="L122" i="5"/>
  <c r="N254" i="5"/>
  <c r="K268" i="5"/>
  <c r="O92" i="5"/>
  <c r="N208" i="5"/>
  <c r="N286" i="5"/>
  <c r="K194" i="5"/>
  <c r="K302" i="5"/>
  <c r="K242" i="5"/>
  <c r="K272" i="5"/>
  <c r="I324" i="5"/>
  <c r="N256" i="5"/>
  <c r="K238" i="5"/>
  <c r="N207" i="5"/>
  <c r="N285" i="5"/>
  <c r="N283" i="5"/>
  <c r="N284" i="5"/>
  <c r="K191" i="5"/>
  <c r="K269" i="5"/>
  <c r="K299" i="5"/>
  <c r="K239" i="5"/>
  <c r="J262" i="5"/>
  <c r="N257" i="5"/>
  <c r="K298" i="5"/>
  <c r="J292" i="5"/>
  <c r="N255" i="5"/>
  <c r="K192" i="5"/>
  <c r="K270" i="5"/>
  <c r="K240" i="5"/>
  <c r="K300" i="5"/>
  <c r="N314" i="5"/>
  <c r="J322" i="5"/>
  <c r="N32" i="5"/>
  <c r="O162" i="5"/>
  <c r="O157" i="5"/>
  <c r="O158" i="5"/>
  <c r="N209" i="5"/>
  <c r="N204" i="5"/>
  <c r="O114" i="5"/>
  <c r="O116" i="5"/>
  <c r="O113" i="5"/>
  <c r="O115" i="5"/>
  <c r="O112" i="5"/>
  <c r="O117" i="5"/>
  <c r="O145" i="5"/>
  <c r="O142" i="5"/>
  <c r="O147" i="5"/>
  <c r="O144" i="5"/>
  <c r="O146" i="5"/>
  <c r="O143" i="5"/>
  <c r="M219" i="5"/>
  <c r="N205" i="5"/>
  <c r="O176" i="5"/>
  <c r="O173" i="5"/>
  <c r="O175" i="5"/>
  <c r="O172" i="5"/>
  <c r="O177" i="5"/>
  <c r="O174" i="5"/>
  <c r="N206" i="5"/>
  <c r="O201" i="5"/>
  <c r="P100" i="5"/>
  <c r="P99" i="5"/>
  <c r="P101" i="5"/>
  <c r="P102" i="5"/>
  <c r="L132" i="5"/>
  <c r="L130" i="5"/>
  <c r="L129" i="5"/>
  <c r="L131" i="5"/>
  <c r="L127" i="5"/>
  <c r="L189" i="5" s="1"/>
  <c r="L128" i="5"/>
  <c r="L190" i="5" s="1"/>
  <c r="K152" i="5"/>
  <c r="P169" i="5"/>
  <c r="P139" i="5"/>
  <c r="P109" i="5"/>
  <c r="P309" i="5" s="1"/>
  <c r="N62" i="5"/>
  <c r="P49" i="5"/>
  <c r="O53" i="5"/>
  <c r="O55" i="5"/>
  <c r="O56" i="5"/>
  <c r="O52" i="5"/>
  <c r="O57" i="5"/>
  <c r="O54" i="5"/>
  <c r="Q79" i="5"/>
  <c r="P85" i="5"/>
  <c r="P87" i="5"/>
  <c r="P84" i="5"/>
  <c r="P86" i="5"/>
  <c r="P83" i="5"/>
  <c r="P82" i="5"/>
  <c r="O316" i="5" l="1"/>
  <c r="O315" i="5"/>
  <c r="K214" i="5"/>
  <c r="I325" i="5"/>
  <c r="I329" i="5"/>
  <c r="O314" i="5"/>
  <c r="K322" i="5"/>
  <c r="O284" i="5"/>
  <c r="K217" i="5"/>
  <c r="K220" i="5" s="1"/>
  <c r="N219" i="5"/>
  <c r="O317" i="5"/>
  <c r="O312" i="5"/>
  <c r="O313" i="5"/>
  <c r="O208" i="5"/>
  <c r="O286" i="5"/>
  <c r="O256" i="5"/>
  <c r="O207" i="5"/>
  <c r="O285" i="5"/>
  <c r="O253" i="5"/>
  <c r="K262" i="5"/>
  <c r="K292" i="5"/>
  <c r="O205" i="5"/>
  <c r="O283" i="5"/>
  <c r="P279" i="5"/>
  <c r="O255" i="5"/>
  <c r="L298" i="5"/>
  <c r="L193" i="5"/>
  <c r="L241" i="5"/>
  <c r="L271" i="5"/>
  <c r="L301" i="5"/>
  <c r="N98" i="5"/>
  <c r="N97" i="5"/>
  <c r="O254" i="5"/>
  <c r="L268" i="5"/>
  <c r="L191" i="5"/>
  <c r="L239" i="5"/>
  <c r="L299" i="5"/>
  <c r="L269" i="5"/>
  <c r="J324" i="5"/>
  <c r="L267" i="5"/>
  <c r="O257" i="5"/>
  <c r="L238" i="5"/>
  <c r="O97" i="5"/>
  <c r="O98" i="5"/>
  <c r="O209" i="5"/>
  <c r="O287" i="5"/>
  <c r="L192" i="5"/>
  <c r="L214" i="5" s="1"/>
  <c r="L240" i="5"/>
  <c r="L270" i="5"/>
  <c r="L300" i="5"/>
  <c r="L297" i="5"/>
  <c r="O252" i="5"/>
  <c r="O282" i="5"/>
  <c r="L194" i="5"/>
  <c r="L272" i="5"/>
  <c r="L302" i="5"/>
  <c r="L242" i="5"/>
  <c r="L237" i="5"/>
  <c r="P249" i="5"/>
  <c r="Q19" i="5"/>
  <c r="P23" i="5"/>
  <c r="P26" i="5"/>
  <c r="P22" i="5"/>
  <c r="P27" i="5"/>
  <c r="P24" i="5"/>
  <c r="P25" i="5"/>
  <c r="P92" i="5"/>
  <c r="P173" i="5"/>
  <c r="P175" i="5"/>
  <c r="P172" i="5"/>
  <c r="P177" i="5"/>
  <c r="P174" i="5"/>
  <c r="P176" i="5"/>
  <c r="P201" i="5"/>
  <c r="O206" i="5"/>
  <c r="P116" i="5"/>
  <c r="P113" i="5"/>
  <c r="P115" i="5"/>
  <c r="P112" i="5"/>
  <c r="P117" i="5"/>
  <c r="P114" i="5"/>
  <c r="O204" i="5"/>
  <c r="P142" i="5"/>
  <c r="P147" i="5"/>
  <c r="P144" i="5"/>
  <c r="P146" i="5"/>
  <c r="P143" i="5"/>
  <c r="P145" i="5"/>
  <c r="L152" i="5"/>
  <c r="M129" i="5"/>
  <c r="M128" i="5"/>
  <c r="M127" i="5"/>
  <c r="M131" i="5"/>
  <c r="M130" i="5"/>
  <c r="M132" i="5"/>
  <c r="Q100" i="5"/>
  <c r="Q99" i="5"/>
  <c r="Q102" i="5"/>
  <c r="Q101" i="5"/>
  <c r="O182" i="5"/>
  <c r="Q169" i="5"/>
  <c r="Q139" i="5"/>
  <c r="Q109" i="5"/>
  <c r="Q309" i="5" s="1"/>
  <c r="O62" i="5"/>
  <c r="Q49" i="5"/>
  <c r="Q279" i="5" s="1"/>
  <c r="P56" i="5"/>
  <c r="P55" i="5"/>
  <c r="P52" i="5"/>
  <c r="P53" i="5"/>
  <c r="P57" i="5"/>
  <c r="P54" i="5"/>
  <c r="R79" i="5"/>
  <c r="Q82" i="5"/>
  <c r="Q87" i="5"/>
  <c r="Q84" i="5"/>
  <c r="Q86" i="5"/>
  <c r="Q83" i="5"/>
  <c r="Q85" i="5"/>
  <c r="P286" i="5" l="1"/>
  <c r="O122" i="5"/>
  <c r="P314" i="5"/>
  <c r="P255" i="5"/>
  <c r="J325" i="5"/>
  <c r="J329" i="5"/>
  <c r="K324" i="5"/>
  <c r="L217" i="5"/>
  <c r="L220" i="5" s="1"/>
  <c r="P312" i="5"/>
  <c r="P315" i="5"/>
  <c r="P313" i="5"/>
  <c r="P317" i="5"/>
  <c r="P316" i="5"/>
  <c r="P32" i="5"/>
  <c r="P97" i="5" s="1"/>
  <c r="P98" i="5"/>
  <c r="M190" i="5"/>
  <c r="M268" i="5"/>
  <c r="M298" i="5"/>
  <c r="M238" i="5"/>
  <c r="Q249" i="5"/>
  <c r="R19" i="5"/>
  <c r="S19" i="5" s="1"/>
  <c r="Q22" i="5"/>
  <c r="Q23" i="5"/>
  <c r="Q26" i="5"/>
  <c r="Q25" i="5"/>
  <c r="Q27" i="5"/>
  <c r="Q24" i="5"/>
  <c r="N122" i="5"/>
  <c r="L292" i="5"/>
  <c r="P253" i="5"/>
  <c r="O219" i="5"/>
  <c r="L262" i="5"/>
  <c r="Q92" i="5"/>
  <c r="Q157" i="5" s="1"/>
  <c r="M191" i="5"/>
  <c r="M269" i="5"/>
  <c r="M239" i="5"/>
  <c r="M299" i="5"/>
  <c r="P287" i="5"/>
  <c r="P254" i="5"/>
  <c r="L322" i="5"/>
  <c r="M189" i="5"/>
  <c r="M297" i="5"/>
  <c r="M267" i="5"/>
  <c r="M237" i="5"/>
  <c r="M194" i="5"/>
  <c r="M272" i="5"/>
  <c r="M242" i="5"/>
  <c r="M302" i="5"/>
  <c r="P257" i="5"/>
  <c r="P206" i="5"/>
  <c r="P284" i="5"/>
  <c r="P205" i="5"/>
  <c r="P283" i="5"/>
  <c r="P204" i="5"/>
  <c r="P282" i="5"/>
  <c r="M192" i="5"/>
  <c r="M270" i="5"/>
  <c r="M300" i="5"/>
  <c r="M240" i="5"/>
  <c r="P252" i="5"/>
  <c r="Q313" i="5"/>
  <c r="P207" i="5"/>
  <c r="P285" i="5"/>
  <c r="M193" i="5"/>
  <c r="M301" i="5"/>
  <c r="M241" i="5"/>
  <c r="M271" i="5"/>
  <c r="P256" i="5"/>
  <c r="P157" i="5"/>
  <c r="P158" i="5"/>
  <c r="P208" i="5"/>
  <c r="Q175" i="5"/>
  <c r="Q172" i="5"/>
  <c r="Q177" i="5"/>
  <c r="Q174" i="5"/>
  <c r="Q176" i="5"/>
  <c r="Q173" i="5"/>
  <c r="Q201" i="5"/>
  <c r="Q116" i="5"/>
  <c r="Q113" i="5"/>
  <c r="Q115" i="5"/>
  <c r="Q112" i="5"/>
  <c r="Q117" i="5"/>
  <c r="Q114" i="5"/>
  <c r="P209" i="5"/>
  <c r="Q147" i="5"/>
  <c r="Q144" i="5"/>
  <c r="Q146" i="5"/>
  <c r="Q143" i="5"/>
  <c r="Q145" i="5"/>
  <c r="Q142" i="5"/>
  <c r="M152" i="5"/>
  <c r="R101" i="5"/>
  <c r="R100" i="5"/>
  <c r="R102" i="5"/>
  <c r="R99" i="5"/>
  <c r="S94" i="5"/>
  <c r="N132" i="5"/>
  <c r="N129" i="5"/>
  <c r="N127" i="5"/>
  <c r="N189" i="5" s="1"/>
  <c r="N128" i="5"/>
  <c r="N190" i="5" s="1"/>
  <c r="N131" i="5"/>
  <c r="N130" i="5"/>
  <c r="R169" i="5"/>
  <c r="R139" i="5"/>
  <c r="R109" i="5"/>
  <c r="R309" i="5" s="1"/>
  <c r="S309" i="5" s="1"/>
  <c r="P62" i="5"/>
  <c r="R87" i="5"/>
  <c r="R86" i="5"/>
  <c r="R83" i="5"/>
  <c r="R85" i="5"/>
  <c r="R82" i="5"/>
  <c r="R84" i="5"/>
  <c r="S79" i="5"/>
  <c r="R49" i="5"/>
  <c r="S49" i="5" s="1"/>
  <c r="Q53" i="5"/>
  <c r="Q55" i="5"/>
  <c r="Q52" i="5"/>
  <c r="Q57" i="5"/>
  <c r="Q54" i="5"/>
  <c r="Q56" i="5"/>
  <c r="Q316" i="5" l="1"/>
  <c r="Q317" i="5"/>
  <c r="Q314" i="5"/>
  <c r="K325" i="5"/>
  <c r="K329" i="5"/>
  <c r="P122" i="5"/>
  <c r="P182" i="5"/>
  <c r="M217" i="5"/>
  <c r="M220" i="5" s="1"/>
  <c r="M292" i="5"/>
  <c r="Q315" i="5"/>
  <c r="M214" i="5"/>
  <c r="Q312" i="5"/>
  <c r="P219" i="5"/>
  <c r="Q205" i="5"/>
  <c r="Q283" i="5"/>
  <c r="R201" i="5"/>
  <c r="S201" i="5" s="1"/>
  <c r="R279" i="5"/>
  <c r="N191" i="5"/>
  <c r="N299" i="5"/>
  <c r="N269" i="5"/>
  <c r="N239" i="5"/>
  <c r="M262" i="5"/>
  <c r="N237" i="5"/>
  <c r="Q254" i="5"/>
  <c r="N194" i="5"/>
  <c r="N302" i="5"/>
  <c r="N242" i="5"/>
  <c r="N272" i="5"/>
  <c r="M322" i="5"/>
  <c r="N297" i="5"/>
  <c r="Q158" i="5"/>
  <c r="Q182" i="5" s="1"/>
  <c r="N298" i="5"/>
  <c r="Q256" i="5"/>
  <c r="Q208" i="5"/>
  <c r="Q286" i="5"/>
  <c r="N192" i="5"/>
  <c r="N300" i="5"/>
  <c r="N270" i="5"/>
  <c r="N240" i="5"/>
  <c r="N238" i="5"/>
  <c r="Q253" i="5"/>
  <c r="N267" i="5"/>
  <c r="S84" i="5"/>
  <c r="S82" i="5"/>
  <c r="Q209" i="5"/>
  <c r="Q287" i="5"/>
  <c r="Q204" i="5"/>
  <c r="Q282" i="5"/>
  <c r="S83" i="5"/>
  <c r="N193" i="5"/>
  <c r="N271" i="5"/>
  <c r="N301" i="5"/>
  <c r="N241" i="5"/>
  <c r="L324" i="5"/>
  <c r="N268" i="5"/>
  <c r="Q252" i="5"/>
  <c r="S87" i="5"/>
  <c r="Q257" i="5"/>
  <c r="Q255" i="5"/>
  <c r="Q206" i="5"/>
  <c r="Q284" i="5"/>
  <c r="S85" i="5"/>
  <c r="Q207" i="5"/>
  <c r="Q285" i="5"/>
  <c r="S86" i="5"/>
  <c r="Q32" i="5"/>
  <c r="R249" i="5"/>
  <c r="S249" i="5" s="1"/>
  <c r="R23" i="5"/>
  <c r="R27" i="5"/>
  <c r="S27" i="5" s="1"/>
  <c r="R26" i="5"/>
  <c r="R25" i="5"/>
  <c r="R24" i="5"/>
  <c r="R22" i="5"/>
  <c r="S100" i="5"/>
  <c r="S101" i="5"/>
  <c r="Q62" i="5"/>
  <c r="Q127" i="5" s="1"/>
  <c r="R113" i="5"/>
  <c r="S113" i="5" s="1"/>
  <c r="R115" i="5"/>
  <c r="R315" i="5" s="1"/>
  <c r="S315" i="5" s="1"/>
  <c r="R112" i="5"/>
  <c r="R117" i="5"/>
  <c r="S117" i="5" s="1"/>
  <c r="R114" i="5"/>
  <c r="R116" i="5"/>
  <c r="R144" i="5"/>
  <c r="S144" i="5" s="1"/>
  <c r="R146" i="5"/>
  <c r="R143" i="5"/>
  <c r="R145" i="5"/>
  <c r="S145" i="5" s="1"/>
  <c r="R142" i="5"/>
  <c r="R147" i="5"/>
  <c r="R92" i="5"/>
  <c r="R175" i="5"/>
  <c r="R172" i="5"/>
  <c r="S172" i="5" s="1"/>
  <c r="R177" i="5"/>
  <c r="R317" i="5" s="1"/>
  <c r="S317" i="5" s="1"/>
  <c r="R174" i="5"/>
  <c r="S174" i="5" s="1"/>
  <c r="R176" i="5"/>
  <c r="S176" i="5" s="1"/>
  <c r="R173" i="5"/>
  <c r="S173" i="5" s="1"/>
  <c r="S99" i="5"/>
  <c r="S102" i="5"/>
  <c r="S279" i="5"/>
  <c r="N152" i="5"/>
  <c r="Q130" i="5"/>
  <c r="Q129" i="5"/>
  <c r="Q132" i="5"/>
  <c r="Q131" i="5"/>
  <c r="O127" i="5"/>
  <c r="O131" i="5"/>
  <c r="O132" i="5"/>
  <c r="O130" i="5"/>
  <c r="O129" i="5"/>
  <c r="O128" i="5"/>
  <c r="S175" i="5"/>
  <c r="S169" i="5"/>
  <c r="S147" i="5"/>
  <c r="S139" i="5"/>
  <c r="S116" i="5"/>
  <c r="S109" i="5"/>
  <c r="R52" i="5"/>
  <c r="R57" i="5"/>
  <c r="R54" i="5"/>
  <c r="R56" i="5"/>
  <c r="R53" i="5"/>
  <c r="R55" i="5"/>
  <c r="R316" i="5" l="1"/>
  <c r="S316" i="5" s="1"/>
  <c r="S115" i="5"/>
  <c r="S146" i="5"/>
  <c r="L325" i="5"/>
  <c r="L329" i="5"/>
  <c r="Q219" i="5"/>
  <c r="M324" i="5"/>
  <c r="R314" i="5"/>
  <c r="S314" i="5" s="1"/>
  <c r="E13" i="8" s="1"/>
  <c r="R32" i="5"/>
  <c r="R98" i="5" s="1"/>
  <c r="S92" i="5"/>
  <c r="N214" i="5"/>
  <c r="Q128" i="5"/>
  <c r="S177" i="5"/>
  <c r="R312" i="5"/>
  <c r="S312" i="5" s="1"/>
  <c r="R285" i="5"/>
  <c r="S285" i="5" s="1"/>
  <c r="R283" i="5"/>
  <c r="S283" i="5" s="1"/>
  <c r="O191" i="5"/>
  <c r="O269" i="5"/>
  <c r="O299" i="5"/>
  <c r="O239" i="5"/>
  <c r="Q193" i="5"/>
  <c r="Q241" i="5"/>
  <c r="Q301" i="5"/>
  <c r="Q271" i="5"/>
  <c r="R256" i="5"/>
  <c r="N322" i="5"/>
  <c r="N262" i="5"/>
  <c r="S112" i="5"/>
  <c r="R253" i="5"/>
  <c r="S253" i="5" s="1"/>
  <c r="R286" i="5"/>
  <c r="S286" i="5" s="1"/>
  <c r="O192" i="5"/>
  <c r="O240" i="5"/>
  <c r="O270" i="5"/>
  <c r="O300" i="5"/>
  <c r="Q191" i="5"/>
  <c r="Q299" i="5"/>
  <c r="Q269" i="5"/>
  <c r="Q239" i="5"/>
  <c r="S114" i="5"/>
  <c r="O193" i="5"/>
  <c r="O301" i="5"/>
  <c r="O271" i="5"/>
  <c r="O241" i="5"/>
  <c r="Q192" i="5"/>
  <c r="Q240" i="5"/>
  <c r="Q300" i="5"/>
  <c r="Q270" i="5"/>
  <c r="N217" i="5"/>
  <c r="N220" i="5" s="1"/>
  <c r="S22" i="5"/>
  <c r="R313" i="5"/>
  <c r="S313" i="5" s="1"/>
  <c r="O190" i="5"/>
  <c r="O298" i="5"/>
  <c r="O268" i="5"/>
  <c r="O238" i="5"/>
  <c r="R255" i="5"/>
  <c r="S255" i="5" s="1"/>
  <c r="S25" i="5"/>
  <c r="Q194" i="5"/>
  <c r="Q242" i="5"/>
  <c r="Q272" i="5"/>
  <c r="Q302" i="5"/>
  <c r="R257" i="5"/>
  <c r="S257" i="5" s="1"/>
  <c r="R284" i="5"/>
  <c r="S284" i="5" s="1"/>
  <c r="O194" i="5"/>
  <c r="O242" i="5"/>
  <c r="O302" i="5"/>
  <c r="O272" i="5"/>
  <c r="R287" i="5"/>
  <c r="S287" i="5" s="1"/>
  <c r="R282" i="5"/>
  <c r="S282" i="5" s="1"/>
  <c r="O189" i="5"/>
  <c r="O297" i="5"/>
  <c r="O267" i="5"/>
  <c r="O237" i="5"/>
  <c r="Q98" i="5"/>
  <c r="Q97" i="5"/>
  <c r="Q189" i="5" s="1"/>
  <c r="S26" i="5"/>
  <c r="R252" i="5"/>
  <c r="S252" i="5" s="1"/>
  <c r="N292" i="5"/>
  <c r="S256" i="5"/>
  <c r="R254" i="5"/>
  <c r="S254" i="5" s="1"/>
  <c r="E3" i="8" s="1"/>
  <c r="S23" i="5"/>
  <c r="S24" i="5"/>
  <c r="R162" i="5"/>
  <c r="S162" i="5" s="1"/>
  <c r="R157" i="5"/>
  <c r="S157" i="5" s="1"/>
  <c r="R158" i="5"/>
  <c r="S158" i="5" s="1"/>
  <c r="S52" i="5"/>
  <c r="R204" i="5"/>
  <c r="S53" i="5"/>
  <c r="R205" i="5"/>
  <c r="S205" i="5" s="1"/>
  <c r="S56" i="5"/>
  <c r="R208" i="5"/>
  <c r="S208" i="5" s="1"/>
  <c r="S54" i="5"/>
  <c r="R206" i="5"/>
  <c r="S206" i="5" s="1"/>
  <c r="S55" i="5"/>
  <c r="R207" i="5"/>
  <c r="S207" i="5" s="1"/>
  <c r="S57" i="5"/>
  <c r="R209" i="5"/>
  <c r="S209" i="5" s="1"/>
  <c r="O152" i="5"/>
  <c r="Q152" i="5"/>
  <c r="P130" i="5"/>
  <c r="P129" i="5"/>
  <c r="P127" i="5"/>
  <c r="P131" i="5"/>
  <c r="P128" i="5"/>
  <c r="P132" i="5"/>
  <c r="R62" i="5"/>
  <c r="E8" i="8" l="1"/>
  <c r="E18" i="8" s="1"/>
  <c r="S182" i="5"/>
  <c r="R97" i="5"/>
  <c r="R122" i="5" s="1"/>
  <c r="M325" i="5"/>
  <c r="M329" i="5"/>
  <c r="Q190" i="5"/>
  <c r="Q214" i="5" s="1"/>
  <c r="O292" i="5"/>
  <c r="O322" i="5"/>
  <c r="O217" i="5"/>
  <c r="O220" i="5" s="1"/>
  <c r="P194" i="5"/>
  <c r="P272" i="5"/>
  <c r="P302" i="5"/>
  <c r="P242" i="5"/>
  <c r="S62" i="5"/>
  <c r="P190" i="5"/>
  <c r="P268" i="5"/>
  <c r="P298" i="5"/>
  <c r="P238" i="5"/>
  <c r="P189" i="5"/>
  <c r="P237" i="5"/>
  <c r="P267" i="5"/>
  <c r="P297" i="5"/>
  <c r="P191" i="5"/>
  <c r="P269" i="5"/>
  <c r="P299" i="5"/>
  <c r="P239" i="5"/>
  <c r="O214" i="5"/>
  <c r="P192" i="5"/>
  <c r="P240" i="5"/>
  <c r="P300" i="5"/>
  <c r="P270" i="5"/>
  <c r="Q237" i="5"/>
  <c r="Q297" i="5"/>
  <c r="Q267" i="5"/>
  <c r="S97" i="5"/>
  <c r="Q122" i="5"/>
  <c r="N324" i="5"/>
  <c r="P193" i="5"/>
  <c r="P241" i="5"/>
  <c r="P301" i="5"/>
  <c r="P271" i="5"/>
  <c r="R182" i="5"/>
  <c r="Q268" i="5"/>
  <c r="Q298" i="5"/>
  <c r="Q238" i="5"/>
  <c r="S98" i="5"/>
  <c r="S32" i="5"/>
  <c r="O262" i="5"/>
  <c r="S204" i="5"/>
  <c r="S219" i="5" s="1"/>
  <c r="R219" i="5"/>
  <c r="P152" i="5"/>
  <c r="S143" i="5"/>
  <c r="S142" i="5"/>
  <c r="N325" i="5" l="1"/>
  <c r="N329" i="5"/>
  <c r="Q217" i="5"/>
  <c r="Q220" i="5" s="1"/>
  <c r="O324" i="5"/>
  <c r="P292" i="5"/>
  <c r="P217" i="5"/>
  <c r="P220" i="5" s="1"/>
  <c r="P214" i="5"/>
  <c r="P322" i="5"/>
  <c r="P262" i="5"/>
  <c r="Q292" i="5"/>
  <c r="Q322" i="5"/>
  <c r="Q262" i="5"/>
  <c r="S122" i="5"/>
  <c r="R127" i="5"/>
  <c r="R129" i="5"/>
  <c r="R130" i="5"/>
  <c r="R132" i="5"/>
  <c r="R128" i="5"/>
  <c r="R131" i="5"/>
  <c r="S124" i="5"/>
  <c r="O325" i="5" l="1"/>
  <c r="O329" i="5"/>
  <c r="R269" i="5"/>
  <c r="S269" i="5" s="1"/>
  <c r="R299" i="5"/>
  <c r="S299" i="5" s="1"/>
  <c r="R239" i="5"/>
  <c r="S239" i="5" s="1"/>
  <c r="R297" i="5"/>
  <c r="R267" i="5"/>
  <c r="R237" i="5"/>
  <c r="R271" i="5"/>
  <c r="S271" i="5" s="1"/>
  <c r="R301" i="5"/>
  <c r="S301" i="5" s="1"/>
  <c r="R241" i="5"/>
  <c r="S241" i="5" s="1"/>
  <c r="Q324" i="5"/>
  <c r="R238" i="5"/>
  <c r="S238" i="5" s="1"/>
  <c r="R298" i="5"/>
  <c r="S298" i="5" s="1"/>
  <c r="R268" i="5"/>
  <c r="S268" i="5" s="1"/>
  <c r="R242" i="5"/>
  <c r="S242" i="5" s="1"/>
  <c r="R272" i="5"/>
  <c r="S272" i="5" s="1"/>
  <c r="R302" i="5"/>
  <c r="S302" i="5" s="1"/>
  <c r="R300" i="5"/>
  <c r="S300" i="5" s="1"/>
  <c r="R240" i="5"/>
  <c r="S240" i="5" s="1"/>
  <c r="R270" i="5"/>
  <c r="S270" i="5" s="1"/>
  <c r="P324" i="5"/>
  <c r="S131" i="5"/>
  <c r="R193" i="5"/>
  <c r="S193" i="5" s="1"/>
  <c r="S128" i="5"/>
  <c r="R190" i="5"/>
  <c r="S190" i="5" s="1"/>
  <c r="S132" i="5"/>
  <c r="R194" i="5"/>
  <c r="S194" i="5" s="1"/>
  <c r="S130" i="5"/>
  <c r="R192" i="5"/>
  <c r="S192" i="5" s="1"/>
  <c r="S129" i="5"/>
  <c r="R191" i="5"/>
  <c r="S191" i="5" s="1"/>
  <c r="S127" i="5"/>
  <c r="R189" i="5"/>
  <c r="R152" i="5"/>
  <c r="Q325" i="5" l="1"/>
  <c r="Q329" i="5"/>
  <c r="P325" i="5"/>
  <c r="P329" i="5"/>
  <c r="R262" i="5"/>
  <c r="S237" i="5"/>
  <c r="R292" i="5"/>
  <c r="S267" i="5"/>
  <c r="R322" i="5"/>
  <c r="S297" i="5"/>
  <c r="S152" i="5"/>
  <c r="R217" i="5"/>
  <c r="R220" i="5" s="1"/>
  <c r="R214" i="5"/>
  <c r="S189" i="5"/>
  <c r="S262" i="5" l="1"/>
  <c r="C3" i="8"/>
  <c r="S292" i="5"/>
  <c r="C8" i="8"/>
  <c r="F8" i="8" s="1"/>
  <c r="S322" i="5"/>
  <c r="S324" i="5" s="1"/>
  <c r="S329" i="5" s="1"/>
  <c r="C13" i="8"/>
  <c r="F13" i="8" s="1"/>
  <c r="R324" i="5"/>
  <c r="S214" i="5"/>
  <c r="S325" i="5" s="1"/>
  <c r="S217" i="5"/>
  <c r="S220" i="5" s="1"/>
  <c r="R325" i="5" l="1"/>
  <c r="R329" i="5"/>
  <c r="C18" i="8"/>
  <c r="F3" i="8"/>
  <c r="C5" i="8"/>
  <c r="F18" i="8" l="1"/>
  <c r="F22" i="8"/>
  <c r="F23" i="8" s="1"/>
  <c r="I51" i="9"/>
  <c r="I33" i="9"/>
  <c r="D4" i="8"/>
  <c r="D5" i="8" s="1"/>
  <c r="E4" i="8"/>
  <c r="J15" i="9" l="1"/>
  <c r="J51" i="9"/>
  <c r="J33" i="9"/>
  <c r="E5" i="8"/>
  <c r="F4" i="8"/>
  <c r="F5" i="8" l="1"/>
  <c r="K15" i="9"/>
  <c r="K51" i="9"/>
  <c r="K33" i="9"/>
  <c r="C10" i="8"/>
  <c r="D9" i="8"/>
  <c r="L15" i="9" l="1"/>
  <c r="L51" i="9"/>
  <c r="I52" i="9"/>
  <c r="I16" i="9"/>
  <c r="I34" i="9"/>
  <c r="L33" i="9"/>
  <c r="C15" i="8"/>
  <c r="D14" i="8"/>
  <c r="D19" i="8" s="1"/>
  <c r="E9" i="8"/>
  <c r="D10" i="8"/>
  <c r="I53" i="9" l="1"/>
  <c r="I17" i="9"/>
  <c r="I35" i="9"/>
  <c r="J16" i="9"/>
  <c r="J52" i="9"/>
  <c r="J34" i="9"/>
  <c r="C20" i="8"/>
  <c r="D15" i="8"/>
  <c r="D20" i="8" s="1"/>
  <c r="E14" i="8"/>
  <c r="E19" i="8" s="1"/>
  <c r="F9" i="8"/>
  <c r="E10" i="8"/>
  <c r="K16" i="9" l="1"/>
  <c r="K52" i="9"/>
  <c r="K34" i="9"/>
  <c r="L34" i="9" s="1"/>
  <c r="J17" i="9"/>
  <c r="J18" i="9" s="1"/>
  <c r="U7" i="11" s="1"/>
  <c r="H4" i="12" s="1"/>
  <c r="N4" i="12" s="1"/>
  <c r="J53" i="9"/>
  <c r="J54" i="9" s="1"/>
  <c r="U9" i="11" s="1"/>
  <c r="J35" i="9"/>
  <c r="J36" i="9" s="1"/>
  <c r="U8" i="11" s="1"/>
  <c r="I54" i="9"/>
  <c r="T9" i="11" s="1"/>
  <c r="L16" i="9"/>
  <c r="F10" i="8"/>
  <c r="I36" i="9"/>
  <c r="T8" i="11" s="1"/>
  <c r="L52" i="9"/>
  <c r="I18" i="9"/>
  <c r="T7" i="11" s="1"/>
  <c r="G4" i="12" s="1"/>
  <c r="F14" i="8"/>
  <c r="F15" i="8" s="1"/>
  <c r="E15" i="8"/>
  <c r="E20" i="8" s="1"/>
  <c r="Z9" i="11" l="1"/>
  <c r="G6" i="12"/>
  <c r="D81" i="12"/>
  <c r="M4" i="12"/>
  <c r="AA9" i="11"/>
  <c r="H6" i="12"/>
  <c r="N6" i="12" s="1"/>
  <c r="D83" i="12" s="1"/>
  <c r="AA8" i="11"/>
  <c r="H5" i="12"/>
  <c r="N5" i="12" s="1"/>
  <c r="D82" i="12" s="1"/>
  <c r="Z8" i="11"/>
  <c r="G5" i="12"/>
  <c r="E14" i="11"/>
  <c r="G338" i="5" s="1"/>
  <c r="G339" i="5" s="1"/>
  <c r="C13" i="13" s="1"/>
  <c r="H14" i="11"/>
  <c r="P14" i="11"/>
  <c r="M14" i="11"/>
  <c r="N14" i="11"/>
  <c r="L14" i="11"/>
  <c r="K14" i="11"/>
  <c r="O14" i="11"/>
  <c r="F14" i="11"/>
  <c r="G14" i="11"/>
  <c r="I14" i="11"/>
  <c r="J14" i="11"/>
  <c r="AA7" i="11"/>
  <c r="P13" i="11"/>
  <c r="H13" i="11"/>
  <c r="E13" i="11"/>
  <c r="G334" i="5" s="1"/>
  <c r="G335" i="5" s="1"/>
  <c r="C12" i="13" s="1"/>
  <c r="F13" i="11"/>
  <c r="G13" i="11"/>
  <c r="J13" i="11"/>
  <c r="I13" i="11"/>
  <c r="M13" i="11"/>
  <c r="K13" i="11"/>
  <c r="L13" i="11"/>
  <c r="N13" i="11"/>
  <c r="O13" i="11"/>
  <c r="Z7" i="11"/>
  <c r="F4" i="7"/>
  <c r="E4" i="7"/>
  <c r="E5" i="7"/>
  <c r="F5" i="7"/>
  <c r="F6" i="7"/>
  <c r="E6" i="7"/>
  <c r="F19" i="8"/>
  <c r="K17" i="9"/>
  <c r="L17" i="9" s="1"/>
  <c r="L18" i="9" s="1"/>
  <c r="W7" i="11" s="1"/>
  <c r="AC7" i="11" s="1"/>
  <c r="K53" i="9"/>
  <c r="L53" i="9" s="1"/>
  <c r="L54" i="9" s="1"/>
  <c r="W9" i="11" s="1"/>
  <c r="AC9" i="11" s="1"/>
  <c r="K35" i="9"/>
  <c r="L35" i="9" s="1"/>
  <c r="L36" i="9" s="1"/>
  <c r="W8" i="11" s="1"/>
  <c r="AC8" i="11" s="1"/>
  <c r="F20" i="8"/>
  <c r="Z10" i="11" l="1"/>
  <c r="M5" i="12"/>
  <c r="D76" i="12" s="1"/>
  <c r="D84" i="12"/>
  <c r="G84" i="12" s="1"/>
  <c r="D13" i="13" s="1"/>
  <c r="E13" i="13" s="1"/>
  <c r="N7" i="12"/>
  <c r="M6" i="12"/>
  <c r="D77" i="12" s="1"/>
  <c r="AA10" i="11"/>
  <c r="Q13" i="11"/>
  <c r="AC10" i="11"/>
  <c r="Q14" i="11"/>
  <c r="H5" i="7"/>
  <c r="I5" i="7" s="1"/>
  <c r="J5" i="7" s="1"/>
  <c r="H6" i="7"/>
  <c r="H4" i="7"/>
  <c r="K18" i="9"/>
  <c r="V7" i="11" s="1"/>
  <c r="I4" i="12" s="1"/>
  <c r="K54" i="9"/>
  <c r="V9" i="11" s="1"/>
  <c r="K36" i="9"/>
  <c r="V8" i="11" s="1"/>
  <c r="AB8" i="11" l="1"/>
  <c r="I5" i="12"/>
  <c r="M7" i="12"/>
  <c r="O4" i="12"/>
  <c r="J4" i="12"/>
  <c r="P4" i="12" s="1"/>
  <c r="AB9" i="11"/>
  <c r="I6" i="12"/>
  <c r="D78" i="12"/>
  <c r="G78" i="12" s="1"/>
  <c r="D12" i="13" s="1"/>
  <c r="E12" i="13" s="1"/>
  <c r="E15" i="11"/>
  <c r="G342" i="5" s="1"/>
  <c r="G343" i="5" s="1"/>
  <c r="C14" i="13" s="1"/>
  <c r="P15" i="11"/>
  <c r="H15" i="11"/>
  <c r="K15" i="11"/>
  <c r="F15" i="11"/>
  <c r="J15" i="11"/>
  <c r="O15" i="11"/>
  <c r="M15" i="11"/>
  <c r="N15" i="11"/>
  <c r="G15" i="11"/>
  <c r="L15" i="11"/>
  <c r="I15" i="11"/>
  <c r="AB7" i="11"/>
  <c r="G5" i="7"/>
  <c r="I4" i="7"/>
  <c r="G4" i="7"/>
  <c r="K5" i="7"/>
  <c r="L5" i="7"/>
  <c r="E5" i="14" s="1"/>
  <c r="G6" i="7"/>
  <c r="I6" i="7"/>
  <c r="J6" i="7" s="1"/>
  <c r="F5" i="14" l="1"/>
  <c r="H5" i="14" s="1"/>
  <c r="J5" i="14" s="1"/>
  <c r="S5" i="14" s="1"/>
  <c r="R5" i="14"/>
  <c r="AB10" i="11"/>
  <c r="AB12" i="11" s="1"/>
  <c r="D87" i="12"/>
  <c r="O6" i="12"/>
  <c r="D89" i="12" s="1"/>
  <c r="J6" i="12"/>
  <c r="P6" i="12" s="1"/>
  <c r="O5" i="12"/>
  <c r="D88" i="12" s="1"/>
  <c r="J5" i="12"/>
  <c r="P5" i="12" s="1"/>
  <c r="M16" i="11"/>
  <c r="K5" i="10" s="1"/>
  <c r="O328" i="5"/>
  <c r="O330" i="5" s="1"/>
  <c r="K6" i="10" s="1"/>
  <c r="O16" i="11"/>
  <c r="M5" i="10" s="1"/>
  <c r="Q328" i="5"/>
  <c r="Q330" i="5" s="1"/>
  <c r="M6" i="10" s="1"/>
  <c r="L328" i="5"/>
  <c r="L330" i="5" s="1"/>
  <c r="H6" i="10" s="1"/>
  <c r="J16" i="11"/>
  <c r="H5" i="10" s="1"/>
  <c r="H328" i="5"/>
  <c r="H330" i="5" s="1"/>
  <c r="D6" i="10" s="1"/>
  <c r="F16" i="11"/>
  <c r="D8" i="13" s="1"/>
  <c r="I16" i="11"/>
  <c r="G5" i="10" s="1"/>
  <c r="K328" i="5"/>
  <c r="K330" i="5" s="1"/>
  <c r="G6" i="10" s="1"/>
  <c r="M328" i="5"/>
  <c r="M330" i="5" s="1"/>
  <c r="I6" i="10" s="1"/>
  <c r="K16" i="11"/>
  <c r="I5" i="10" s="1"/>
  <c r="N328" i="5"/>
  <c r="N330" i="5" s="1"/>
  <c r="J6" i="10" s="1"/>
  <c r="L16" i="11"/>
  <c r="J5" i="10" s="1"/>
  <c r="H16" i="11"/>
  <c r="F5" i="10" s="1"/>
  <c r="J328" i="5"/>
  <c r="J330" i="5" s="1"/>
  <c r="F6" i="10" s="1"/>
  <c r="G16" i="11"/>
  <c r="E5" i="10" s="1"/>
  <c r="I328" i="5"/>
  <c r="I330" i="5" s="1"/>
  <c r="E6" i="10" s="1"/>
  <c r="R328" i="5"/>
  <c r="R330" i="5" s="1"/>
  <c r="N6" i="10" s="1"/>
  <c r="P16" i="11"/>
  <c r="N5" i="10" s="1"/>
  <c r="P328" i="5"/>
  <c r="P330" i="5" s="1"/>
  <c r="L6" i="10" s="1"/>
  <c r="N16" i="11"/>
  <c r="L5" i="10" s="1"/>
  <c r="Q15" i="11"/>
  <c r="G328" i="5"/>
  <c r="G330" i="5" s="1"/>
  <c r="C6" i="10" s="1"/>
  <c r="E16" i="11"/>
  <c r="C8" i="13" s="1"/>
  <c r="C16" i="13" s="1"/>
  <c r="K4" i="7"/>
  <c r="L4" i="7"/>
  <c r="E4" i="14" s="1"/>
  <c r="E21" i="7"/>
  <c r="K21" i="7"/>
  <c r="M21" i="7"/>
  <c r="J21" i="7"/>
  <c r="L21" i="7"/>
  <c r="N21" i="7"/>
  <c r="D21" i="7"/>
  <c r="O5" i="14" s="1"/>
  <c r="P5" i="14" s="1"/>
  <c r="I21" i="7"/>
  <c r="H21" i="7"/>
  <c r="Q13" i="7"/>
  <c r="G21" i="7"/>
  <c r="F21" i="7"/>
  <c r="O21" i="7"/>
  <c r="L6" i="7"/>
  <c r="E6" i="14" s="1"/>
  <c r="K6" i="7"/>
  <c r="F24" i="8"/>
  <c r="F6" i="14" l="1"/>
  <c r="H6" i="14" s="1"/>
  <c r="J6" i="14" s="1"/>
  <c r="S6" i="14" s="1"/>
  <c r="R6" i="14"/>
  <c r="F4" i="14"/>
  <c r="R4" i="14"/>
  <c r="R7" i="14" s="1"/>
  <c r="D11" i="14" s="1"/>
  <c r="D21" i="13"/>
  <c r="E8" i="13"/>
  <c r="C21" i="13"/>
  <c r="P7" i="12"/>
  <c r="D5" i="10"/>
  <c r="D7" i="10" s="1"/>
  <c r="O7" i="12"/>
  <c r="D90" i="12"/>
  <c r="G90" i="12" s="1"/>
  <c r="D14" i="13" s="1"/>
  <c r="E14" i="13" s="1"/>
  <c r="Q16" i="11"/>
  <c r="O5" i="10" s="1"/>
  <c r="S328" i="5"/>
  <c r="S330" i="5" s="1"/>
  <c r="O6" i="10" s="1"/>
  <c r="E12" i="10"/>
  <c r="E7" i="10"/>
  <c r="M12" i="10"/>
  <c r="M7" i="10"/>
  <c r="F12" i="10"/>
  <c r="F7" i="10"/>
  <c r="N12" i="10"/>
  <c r="N7" i="10"/>
  <c r="G12" i="10"/>
  <c r="G7" i="10"/>
  <c r="H7" i="10"/>
  <c r="H12" i="10"/>
  <c r="K7" i="10"/>
  <c r="K12" i="10"/>
  <c r="I7" i="10"/>
  <c r="I12" i="10"/>
  <c r="J7" i="10"/>
  <c r="J12" i="10"/>
  <c r="L7" i="10"/>
  <c r="L12" i="10"/>
  <c r="C5" i="10"/>
  <c r="P21" i="7"/>
  <c r="H22" i="7"/>
  <c r="N22" i="7"/>
  <c r="L22" i="7"/>
  <c r="J22" i="7"/>
  <c r="M22" i="7"/>
  <c r="Q14" i="7"/>
  <c r="I22" i="7"/>
  <c r="E22" i="7"/>
  <c r="F22" i="7"/>
  <c r="O22" i="7"/>
  <c r="G22" i="7"/>
  <c r="K22" i="7"/>
  <c r="D22" i="7"/>
  <c r="O6" i="14" s="1"/>
  <c r="L20" i="7"/>
  <c r="M20" i="7"/>
  <c r="O20" i="7"/>
  <c r="I20" i="7"/>
  <c r="K20" i="7"/>
  <c r="D20" i="7"/>
  <c r="O4" i="14" s="1"/>
  <c r="F20" i="7"/>
  <c r="N20" i="7"/>
  <c r="H20" i="7"/>
  <c r="G20" i="7"/>
  <c r="J20" i="7"/>
  <c r="E20" i="7"/>
  <c r="Q12" i="7"/>
  <c r="O7" i="14" l="1"/>
  <c r="P6" i="14"/>
  <c r="G4" i="14"/>
  <c r="G7" i="14" s="1"/>
  <c r="D5" i="13" s="1"/>
  <c r="E5" i="13" s="1"/>
  <c r="F7" i="14"/>
  <c r="D4" i="13" s="1"/>
  <c r="D12" i="10"/>
  <c r="E16" i="13"/>
  <c r="D16" i="13"/>
  <c r="E21" i="13"/>
  <c r="F23" i="7"/>
  <c r="E3" i="10" s="1"/>
  <c r="E9" i="10" s="1"/>
  <c r="E14" i="10" s="1"/>
  <c r="E15" i="10" s="1"/>
  <c r="H23" i="7"/>
  <c r="G3" i="10" s="1"/>
  <c r="G9" i="10" s="1"/>
  <c r="G14" i="10" s="1"/>
  <c r="G15" i="10" s="1"/>
  <c r="C7" i="10"/>
  <c r="C12" i="10"/>
  <c r="O12" i="10"/>
  <c r="O7" i="10"/>
  <c r="P22" i="7"/>
  <c r="G23" i="7"/>
  <c r="F3" i="10" s="1"/>
  <c r="F9" i="10" s="1"/>
  <c r="F14" i="10" s="1"/>
  <c r="F15" i="10" s="1"/>
  <c r="I23" i="7"/>
  <c r="H3" i="10" s="1"/>
  <c r="H9" i="10" s="1"/>
  <c r="H14" i="10" s="1"/>
  <c r="H15" i="10" s="1"/>
  <c r="L23" i="7"/>
  <c r="K3" i="10" s="1"/>
  <c r="K9" i="10" s="1"/>
  <c r="K10" i="10" s="1"/>
  <c r="Q15" i="7"/>
  <c r="D23" i="7"/>
  <c r="P20" i="7"/>
  <c r="K23" i="7"/>
  <c r="J3" i="10" s="1"/>
  <c r="J9" i="10" s="1"/>
  <c r="J23" i="7"/>
  <c r="I3" i="10" s="1"/>
  <c r="I9" i="10" s="1"/>
  <c r="O23" i="7"/>
  <c r="N3" i="10" s="1"/>
  <c r="N9" i="10" s="1"/>
  <c r="M23" i="7"/>
  <c r="L3" i="10" s="1"/>
  <c r="L9" i="10" s="1"/>
  <c r="E23" i="7"/>
  <c r="N23" i="7"/>
  <c r="M3" i="10" s="1"/>
  <c r="M9" i="10" s="1"/>
  <c r="H4" i="14" l="1"/>
  <c r="P4" i="14" s="1"/>
  <c r="P7" i="14" s="1"/>
  <c r="D6" i="13"/>
  <c r="H7" i="14"/>
  <c r="E10" i="10"/>
  <c r="D18" i="13"/>
  <c r="P23" i="7"/>
  <c r="O3" i="10" s="1"/>
  <c r="O9" i="10" s="1"/>
  <c r="O14" i="10" s="1"/>
  <c r="O15" i="10" s="1"/>
  <c r="C3" i="10"/>
  <c r="C9" i="10" s="1"/>
  <c r="C14" i="10" s="1"/>
  <c r="C15" i="10" s="1"/>
  <c r="C4" i="13"/>
  <c r="G10" i="10"/>
  <c r="D3" i="10"/>
  <c r="D9" i="10" s="1"/>
  <c r="D10" i="10" s="1"/>
  <c r="H10" i="10"/>
  <c r="K14" i="10"/>
  <c r="K15" i="10" s="1"/>
  <c r="F10" i="10"/>
  <c r="L10" i="10"/>
  <c r="L14" i="10"/>
  <c r="L15" i="10" s="1"/>
  <c r="N14" i="10"/>
  <c r="N15" i="10" s="1"/>
  <c r="N10" i="10"/>
  <c r="J10" i="10"/>
  <c r="J14" i="10"/>
  <c r="J15" i="10" s="1"/>
  <c r="I14" i="10"/>
  <c r="I15" i="10" s="1"/>
  <c r="I10" i="10"/>
  <c r="M14" i="10"/>
  <c r="M15" i="10" s="1"/>
  <c r="M10" i="10"/>
  <c r="J4" i="14" l="1"/>
  <c r="S4" i="14" s="1"/>
  <c r="S7" i="14" s="1"/>
  <c r="D12" i="14" s="1"/>
  <c r="D13" i="14" s="1"/>
  <c r="C10" i="10"/>
  <c r="C18" i="13"/>
  <c r="C23" i="13" s="1"/>
  <c r="C24" i="13" s="1"/>
  <c r="C6" i="13"/>
  <c r="E4" i="13"/>
  <c r="E6" i="13" s="1"/>
  <c r="O10" i="10"/>
  <c r="E18" i="13"/>
  <c r="E23" i="13" s="1"/>
  <c r="C19" i="13"/>
  <c r="D14" i="10"/>
  <c r="D15" i="10" s="1"/>
  <c r="D23" i="13"/>
  <c r="D24" i="13" s="1"/>
  <c r="D19" i="13"/>
  <c r="E19" i="13" l="1"/>
  <c r="E24" i="13"/>
</calcChain>
</file>

<file path=xl/sharedStrings.xml><?xml version="1.0" encoding="utf-8"?>
<sst xmlns="http://schemas.openxmlformats.org/spreadsheetml/2006/main" count="1856" uniqueCount="259">
  <si>
    <t>PRODUCTO A</t>
  </si>
  <si>
    <t>MATERIA PRIMA A</t>
  </si>
  <si>
    <t>MATERIA PRIMA B</t>
  </si>
  <si>
    <t>MATERIA PRIMA C</t>
  </si>
  <si>
    <t>MATERIA PRIMA D</t>
  </si>
  <si>
    <t>MATERIA PRIMA E</t>
  </si>
  <si>
    <t>MATERIA PRIMA F</t>
  </si>
  <si>
    <t>MATERIA PRIMA G</t>
  </si>
  <si>
    <t>MATERIA PRIMA H</t>
  </si>
  <si>
    <t>MATERIA PRIMA I</t>
  </si>
  <si>
    <t>MATERIA PRIMA J</t>
  </si>
  <si>
    <t>CODIGO MP</t>
  </si>
  <si>
    <t>CODIGO PT</t>
  </si>
  <si>
    <t>DESCRIPCION</t>
  </si>
  <si>
    <t>UM</t>
  </si>
  <si>
    <t>COSTO</t>
  </si>
  <si>
    <t>CONSUMO</t>
  </si>
  <si>
    <t>TOTAL</t>
  </si>
  <si>
    <t>KGS</t>
  </si>
  <si>
    <t>PZA</t>
  </si>
  <si>
    <t>WC1</t>
  </si>
  <si>
    <t>WC2</t>
  </si>
  <si>
    <t>WC3</t>
  </si>
  <si>
    <t>TIEMPO DE PROCESO 1</t>
  </si>
  <si>
    <t>TIEMPO DE PROCESO 2</t>
  </si>
  <si>
    <t>TIEMPO DE PROCESO 3</t>
  </si>
  <si>
    <t>MIN</t>
  </si>
  <si>
    <t>PROCESO DE COSTEO</t>
  </si>
  <si>
    <t>INGENIERIA</t>
  </si>
  <si>
    <t>Lista de Materiales</t>
  </si>
  <si>
    <t>Tiempos</t>
  </si>
  <si>
    <t>Rutas de Proceso</t>
  </si>
  <si>
    <t>COMPRAS</t>
  </si>
  <si>
    <t>Precios</t>
  </si>
  <si>
    <t>Costo de MOD</t>
  </si>
  <si>
    <t>Costo de MOI</t>
  </si>
  <si>
    <t>RECURSOS HUM</t>
  </si>
  <si>
    <t>Prestaciones</t>
  </si>
  <si>
    <t>Cargas Sociales</t>
  </si>
  <si>
    <t>CONTABILIDAD</t>
  </si>
  <si>
    <t>GASTOS POR CC</t>
  </si>
  <si>
    <t xml:space="preserve">     Variables</t>
  </si>
  <si>
    <t xml:space="preserve">     Fijos</t>
  </si>
  <si>
    <t xml:space="preserve">     Costos de MO</t>
  </si>
  <si>
    <t>COSTOS</t>
  </si>
  <si>
    <t>Costeo de Productos</t>
  </si>
  <si>
    <t>CC</t>
  </si>
  <si>
    <t>NOMBRE</t>
  </si>
  <si>
    <t>Definicion de CC</t>
  </si>
  <si>
    <t>SUELDO DIARIO</t>
  </si>
  <si>
    <t>SUELDO INTEGRADO</t>
  </si>
  <si>
    <t>JUAN PEREZ</t>
  </si>
  <si>
    <t>EDGAR X</t>
  </si>
  <si>
    <t>SONIA Y</t>
  </si>
  <si>
    <t>SOFIA B</t>
  </si>
  <si>
    <t>PEDRO X</t>
  </si>
  <si>
    <t>JOEL Z</t>
  </si>
  <si>
    <t>CARLOS F</t>
  </si>
  <si>
    <t>MANUEL R</t>
  </si>
  <si>
    <t>DESCRIPCION DEL CC</t>
  </si>
  <si>
    <t>VERONICA L</t>
  </si>
  <si>
    <t>ALEJANDRO H</t>
  </si>
  <si>
    <t>JANETTE M</t>
  </si>
  <si>
    <t>ALEXA T</t>
  </si>
  <si>
    <t>BERENICE J</t>
  </si>
  <si>
    <t>ALMA G</t>
  </si>
  <si>
    <t>RAFAEL H</t>
  </si>
  <si>
    <t>MANUEL O</t>
  </si>
  <si>
    <t>DAVID E</t>
  </si>
  <si>
    <t>OSCAR J</t>
  </si>
  <si>
    <t>DARIO C</t>
  </si>
  <si>
    <t>ALFREDO X</t>
  </si>
  <si>
    <t>CUENTAS CONTABLES</t>
  </si>
  <si>
    <t>Salarios</t>
  </si>
  <si>
    <t>Tiempo extra</t>
  </si>
  <si>
    <t>Prima vacacional</t>
  </si>
  <si>
    <t>Aguinaldo</t>
  </si>
  <si>
    <t>Vacaciones</t>
  </si>
  <si>
    <t>Imss</t>
  </si>
  <si>
    <t>SAR</t>
  </si>
  <si>
    <t>Impuesto Estatal</t>
  </si>
  <si>
    <t>Infonavit</t>
  </si>
  <si>
    <t>Sueldos</t>
  </si>
  <si>
    <t>Energia Electrica</t>
  </si>
  <si>
    <t>Agua</t>
  </si>
  <si>
    <t>Gas</t>
  </si>
  <si>
    <t>Mantenimientos</t>
  </si>
  <si>
    <t>Refacciones</t>
  </si>
  <si>
    <t>Gastos Indirectos</t>
  </si>
  <si>
    <t>Depreciaciones</t>
  </si>
  <si>
    <t>Amortizaciones</t>
  </si>
  <si>
    <t>Seguros</t>
  </si>
  <si>
    <t>Rentas</t>
  </si>
  <si>
    <t>Cuenta</t>
  </si>
  <si>
    <t>Descrpicion Cuenta</t>
  </si>
  <si>
    <t>Descripcion CC</t>
  </si>
  <si>
    <t>TOTALES</t>
  </si>
  <si>
    <t xml:space="preserve">Clasificacion </t>
  </si>
  <si>
    <t>MOD</t>
  </si>
  <si>
    <t>GASTOS VAR</t>
  </si>
  <si>
    <t>GASTOS FIJOS</t>
  </si>
  <si>
    <t>MANO DE OBRA DIRECTA</t>
  </si>
  <si>
    <t>GASTOS VARIABLES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</si>
  <si>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</si>
  <si>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</si>
  <si>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</si>
  <si>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</si>
  <si>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</si>
  <si>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</si>
  <si>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</si>
  <si>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</si>
  <si>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</si>
  <si>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</si>
  <si>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</si>
  <si>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</si>
  <si>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LUIS G</t>
  </si>
  <si>
    <t>MECANICO</t>
  </si>
  <si>
    <t>GERENTE GENERAL</t>
  </si>
  <si>
    <t>CONTADOR</t>
  </si>
  <si>
    <t>RECURSOS HUMANOS</t>
  </si>
  <si>
    <t>GUADALUPE S</t>
  </si>
  <si>
    <t>ANTONIO F</t>
  </si>
  <si>
    <t>GERENTE COMERCIAL</t>
  </si>
  <si>
    <t>PUESTO</t>
  </si>
  <si>
    <t>SUPERVISOR</t>
  </si>
  <si>
    <t>ERICK J</t>
  </si>
  <si>
    <t>FRANCISCO R</t>
  </si>
  <si>
    <t>DANIEL G</t>
  </si>
  <si>
    <t>CARLOS L</t>
  </si>
  <si>
    <t>JESUS C</t>
  </si>
  <si>
    <t>LUIS A</t>
  </si>
  <si>
    <t>KAM</t>
  </si>
  <si>
    <t>GERENTE REGIONAL</t>
  </si>
  <si>
    <t>GERENCIA GENERAL</t>
  </si>
  <si>
    <t xml:space="preserve">CONTABILIDAD </t>
  </si>
  <si>
    <t>GTE RH</t>
  </si>
  <si>
    <t>GERENCIA COMERCIAL</t>
  </si>
  <si>
    <t>GERENCIA REGIONAL NORTE</t>
  </si>
  <si>
    <t>GERENCIA REGIONAL CENTRO</t>
  </si>
  <si>
    <t>MENSUAL</t>
  </si>
  <si>
    <t>PRORRETEOS</t>
  </si>
  <si>
    <t>PRESTACIONES</t>
  </si>
  <si>
    <t>AGUINALDO</t>
  </si>
  <si>
    <t>VACACIONES</t>
  </si>
  <si>
    <t>PRIMA VACACIONAL</t>
  </si>
  <si>
    <t>DIAS</t>
  </si>
  <si>
    <t xml:space="preserve">DIAS </t>
  </si>
  <si>
    <t>CONFORME A LEY</t>
  </si>
  <si>
    <t>IMSS</t>
  </si>
  <si>
    <t>INFONAVIT</t>
  </si>
  <si>
    <t>IMPUESTO ESTATAL</t>
  </si>
  <si>
    <t>CALIDAD</t>
  </si>
  <si>
    <t>ALMACEN DE MP</t>
  </si>
  <si>
    <t>INGENIERIA PLANTA</t>
  </si>
  <si>
    <t>ARTURO M</t>
  </si>
  <si>
    <t>JAZMIN J</t>
  </si>
  <si>
    <t>GUADALUPE T</t>
  </si>
  <si>
    <t>PROCESO CONVERSION 1</t>
  </si>
  <si>
    <t>PROCESO CONVERSION 2</t>
  </si>
  <si>
    <t>PROCESO CONVERSION 3</t>
  </si>
  <si>
    <t>GASTO TOTAL PLANTA</t>
  </si>
  <si>
    <t>GASTO</t>
  </si>
  <si>
    <t>MINUTOS PRODUCCION</t>
  </si>
  <si>
    <t>MANO DE OBRA</t>
  </si>
  <si>
    <t>PRORRATEO DE CENTRO DE COSTOS DE SERVICIOS A PRODUCTIVOS</t>
  </si>
  <si>
    <t>COSTO POR MINUTO</t>
  </si>
  <si>
    <t>PRODUCTO B</t>
  </si>
  <si>
    <t>PRODUCTO C</t>
  </si>
  <si>
    <t>CAPACIDAD INSTALADA</t>
  </si>
  <si>
    <t>CAPACIDAD TEORICA</t>
  </si>
  <si>
    <t>CAPACIDAD PRACTICA</t>
  </si>
  <si>
    <t>PRODUCTO</t>
  </si>
  <si>
    <t>COD</t>
  </si>
  <si>
    <t>CAPACIDAD MENSUAL</t>
  </si>
  <si>
    <t>WC1 1P MOD</t>
  </si>
  <si>
    <t>WC1 2P MOD</t>
  </si>
  <si>
    <t>WC1 3P MOD</t>
  </si>
  <si>
    <t>TOTAL MP</t>
  </si>
  <si>
    <t xml:space="preserve">WC1 1P </t>
  </si>
  <si>
    <t xml:space="preserve">WC1 2P </t>
  </si>
  <si>
    <t>WC1 3P</t>
  </si>
  <si>
    <t>GTOS V</t>
  </si>
  <si>
    <t>GTOS F</t>
  </si>
  <si>
    <t>COSTO TOTAL</t>
  </si>
  <si>
    <t>COSTOS INDUSTRIALES</t>
  </si>
  <si>
    <t>GTOS OPERATIVO</t>
  </si>
  <si>
    <t>TOTAL COSTO</t>
  </si>
  <si>
    <t>MARGEN</t>
  </si>
  <si>
    <t>PRECIO VTA</t>
  </si>
  <si>
    <t>VENTAS EN KGS</t>
  </si>
  <si>
    <t>VENTAS EN PESOS</t>
  </si>
  <si>
    <t>VENTA $</t>
  </si>
  <si>
    <t>EXPLOSION DE MATERIALES</t>
  </si>
  <si>
    <t>VALUACION DE LA PRODUCCION</t>
  </si>
  <si>
    <t>VENTAS</t>
  </si>
  <si>
    <t>COSTO DE VENTAS</t>
  </si>
  <si>
    <t>VARIACIONES</t>
  </si>
  <si>
    <t>TOTAL GASTO</t>
  </si>
  <si>
    <t>ABSORCIONES POR PRODUCCION</t>
  </si>
  <si>
    <t>GASTO PROYECTADO</t>
  </si>
  <si>
    <t>UTILIDAD BRUTA</t>
  </si>
  <si>
    <t>GASTOS DE OPERACIÓN</t>
  </si>
  <si>
    <t>UTILIDAD OPERACIÓN</t>
  </si>
  <si>
    <t>CALCULO PRECIO</t>
  </si>
  <si>
    <t>CONSUMO A ESTANDAR</t>
  </si>
  <si>
    <t>TOTAL CONSUMO</t>
  </si>
  <si>
    <t>ABSORCION</t>
  </si>
  <si>
    <t>REAL</t>
  </si>
  <si>
    <t>VARIACION</t>
  </si>
  <si>
    <t>VARIABLES</t>
  </si>
  <si>
    <t>FIJOS</t>
  </si>
  <si>
    <t>FCTS</t>
  </si>
  <si>
    <t>ABS FCST</t>
  </si>
  <si>
    <t>STD</t>
  </si>
  <si>
    <t>VAR</t>
  </si>
  <si>
    <t>REAL (Vales)</t>
  </si>
  <si>
    <t>COMPRADOS</t>
  </si>
  <si>
    <t>PRECIO</t>
  </si>
  <si>
    <t>VENTA BRUTA</t>
  </si>
  <si>
    <t>DESCUENTOS</t>
  </si>
  <si>
    <t>VENTA NETA</t>
  </si>
  <si>
    <t xml:space="preserve">    Var Precio Mtrs</t>
  </si>
  <si>
    <t xml:space="preserve">    Var Uso Mtrs</t>
  </si>
  <si>
    <t xml:space="preserve">    Var MOD</t>
  </si>
  <si>
    <t xml:space="preserve">    Var GV</t>
  </si>
  <si>
    <t xml:space="preserve">    Var GF</t>
  </si>
  <si>
    <t>MOD REAL</t>
  </si>
  <si>
    <t>DESCTOS SOBRE VENTA</t>
  </si>
  <si>
    <t>LISTA DE MATERIALES DE CADA PRODUCTO</t>
  </si>
  <si>
    <t>TIEMPOS DE PROCESO DE CADA PRODUCTO</t>
  </si>
  <si>
    <t>RUTA DE PRODUCCION DE CADA PRODUCTO</t>
  </si>
  <si>
    <t>A)</t>
  </si>
  <si>
    <t>B)</t>
  </si>
  <si>
    <t>C)</t>
  </si>
  <si>
    <t>COSTO DE MATERIAL PUESTO EN PLANTA</t>
  </si>
  <si>
    <t>COSTO ESTÁNDAR DE MATERIAS PRIMAS</t>
  </si>
  <si>
    <t>COSTO STD</t>
  </si>
  <si>
    <t>Impacto en Volumen</t>
  </si>
  <si>
    <t>Impacto en precio</t>
  </si>
  <si>
    <t>FCTS KGS</t>
  </si>
  <si>
    <t>FCTS VENTAS</t>
  </si>
  <si>
    <t>Neto</t>
  </si>
  <si>
    <t>FCST</t>
  </si>
  <si>
    <t>Costo por minuto</t>
  </si>
  <si>
    <t>Valuacion produccion</t>
  </si>
  <si>
    <t>Variaciones</t>
  </si>
  <si>
    <t>Absorciones</t>
  </si>
  <si>
    <t>P&amp;L PRESUPUESTADO</t>
  </si>
  <si>
    <t>PRODUCCIONES PRESUPUESTADAS</t>
  </si>
  <si>
    <t>VENTAS PRESUPUESTADAS</t>
  </si>
  <si>
    <t>GASTOS POR CC PRESUPUESTADOS</t>
  </si>
  <si>
    <t>MARGENES Y UTILIDADES PRESUPUESTADOS</t>
  </si>
  <si>
    <t>ANALISIS DE VARIACIONES A LA MANUFACURA</t>
  </si>
  <si>
    <t>PRODUCTIVOS</t>
  </si>
  <si>
    <t>SERVICIOS</t>
  </si>
  <si>
    <t>ADMINISTRACION</t>
  </si>
  <si>
    <t>VARIACION USO DE MATERIALES</t>
  </si>
  <si>
    <t>X VOLUMEN</t>
  </si>
  <si>
    <t>X 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</si>
</sst>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00_-;\-* #,##0.0000_-;_-* &quot;-&quot;??_-;_-@_-"/>
    <numFmt numFmtId="165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/>
    <xf numFmtId="0" fontId="0" fillId="0" borderId="0" xfId="0" applyAlignment="1">
      <alignment horizontal="right"/>
    </xf>
    <xf numFmtId="9" fontId="0" fillId="0" borderId="0" xfId="0" applyNumberFormat="1"/>
    <xf numFmtId="43" fontId="0" fillId="0" borderId="0" xfId="0" applyNumberFormat="1"/>
    <xf numFmtId="0" fontId="0" fillId="2" borderId="0" xfId="0" applyFill="1"/>
    <xf numFmtId="43" fontId="2" fillId="0" borderId="0" xfId="0" applyNumberFormat="1" applyFont="1"/>
    <xf numFmtId="9" fontId="0" fillId="0" borderId="0" xfId="1" applyNumberFormat="1" applyFont="1"/>
    <xf numFmtId="0" fontId="3" fillId="2" borderId="0" xfId="0" applyFont="1" applyFill="1"/>
    <xf numFmtId="164" fontId="0" fillId="0" borderId="0" xfId="1" applyNumberFormat="1" applyFont="1"/>
    <xf numFmtId="0" fontId="3" fillId="0" borderId="0" xfId="0" applyFont="1"/>
    <xf numFmtId="0" fontId="0" fillId="3" borderId="0" xfId="0" applyFill="1"/>
    <xf numFmtId="43" fontId="5" fillId="0" borderId="0" xfId="0" applyNumberFormat="1" applyFont="1"/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43" fontId="0" fillId="0" borderId="1" xfId="0" applyNumberFormat="1" applyBorder="1"/>
    <xf numFmtId="0" fontId="6" fillId="0" borderId="0" xfId="0" applyFont="1"/>
    <xf numFmtId="9" fontId="6" fillId="0" borderId="0" xfId="0" applyNumberFormat="1" applyFont="1"/>
    <xf numFmtId="43" fontId="6" fillId="0" borderId="0" xfId="0" applyNumberFormat="1" applyFont="1"/>
    <xf numFmtId="43" fontId="6" fillId="0" borderId="0" xfId="1" applyFont="1"/>
    <xf numFmtId="0" fontId="7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43" fontId="6" fillId="2" borderId="0" xfId="0" applyNumberFormat="1" applyFont="1" applyFill="1"/>
    <xf numFmtId="0" fontId="7" fillId="2" borderId="0" xfId="0" applyFont="1" applyFill="1"/>
    <xf numFmtId="0" fontId="6" fillId="2" borderId="0" xfId="0" applyFont="1" applyFill="1"/>
    <xf numFmtId="9" fontId="6" fillId="0" borderId="0" xfId="2" applyFont="1"/>
    <xf numFmtId="43" fontId="6" fillId="2" borderId="0" xfId="1" applyFont="1" applyFill="1"/>
    <xf numFmtId="43" fontId="6" fillId="0" borderId="1" xfId="1" applyFont="1" applyBorder="1"/>
    <xf numFmtId="0" fontId="6" fillId="2" borderId="0" xfId="0" applyFont="1" applyFill="1" applyAlignment="1">
      <alignment horizontal="center"/>
    </xf>
    <xf numFmtId="0" fontId="6" fillId="0" borderId="1" xfId="0" applyFont="1" applyBorder="1"/>
    <xf numFmtId="43" fontId="6" fillId="0" borderId="1" xfId="0" applyNumberFormat="1" applyFont="1" applyBorder="1"/>
    <xf numFmtId="43" fontId="6" fillId="2" borderId="1" xfId="0" applyNumberFormat="1" applyFont="1" applyFill="1" applyBorder="1"/>
    <xf numFmtId="0" fontId="6" fillId="5" borderId="0" xfId="0" applyFont="1" applyFill="1"/>
    <xf numFmtId="0" fontId="6" fillId="6" borderId="0" xfId="0" applyFont="1" applyFill="1"/>
    <xf numFmtId="0" fontId="0" fillId="5" borderId="0" xfId="0" applyFill="1"/>
    <xf numFmtId="0" fontId="0" fillId="6" borderId="0" xfId="0" applyFill="1"/>
    <xf numFmtId="0" fontId="8" fillId="0" borderId="0" xfId="0" applyFont="1"/>
    <xf numFmtId="0" fontId="9" fillId="0" borderId="0" xfId="0" applyFont="1"/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43" fontId="6" fillId="7" borderId="0" xfId="1" applyFont="1" applyFill="1"/>
    <xf numFmtId="43" fontId="6" fillId="7" borderId="0" xfId="0" applyNumberFormat="1" applyFont="1" applyFill="1"/>
    <xf numFmtId="0" fontId="6" fillId="7" borderId="0" xfId="0" applyFont="1" applyFill="1"/>
    <xf numFmtId="43" fontId="0" fillId="7" borderId="0" xfId="1" applyFont="1" applyFill="1"/>
    <xf numFmtId="0" fontId="0" fillId="7" borderId="0" xfId="0" applyFill="1"/>
    <xf numFmtId="9" fontId="0" fillId="7" borderId="0" xfId="0" applyNumberFormat="1" applyFill="1"/>
    <xf numFmtId="10" fontId="0" fillId="7" borderId="0" xfId="0" applyNumberFormat="1" applyFill="1"/>
    <xf numFmtId="0" fontId="3" fillId="7" borderId="0" xfId="0" applyFont="1" applyFill="1"/>
    <xf numFmtId="44" fontId="0" fillId="0" borderId="0" xfId="3" applyFont="1"/>
    <xf numFmtId="44" fontId="0" fillId="0" borderId="1" xfId="3" applyFont="1" applyBorder="1"/>
    <xf numFmtId="165" fontId="6" fillId="0" borderId="0" xfId="2" applyNumberFormat="1" applyFont="1"/>
    <xf numFmtId="9" fontId="6" fillId="7" borderId="0" xfId="0" applyNumberFormat="1" applyFont="1" applyFill="1"/>
    <xf numFmtId="43" fontId="6" fillId="7" borderId="1" xfId="1" applyFont="1" applyFill="1" applyBorder="1"/>
  </cellXfs>
  <cellStyles count="4">
    <cellStyle name="Millares" xfId="1" builtinId="3"/>
    <cellStyle name="Moneda" xfId="3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179E0-2142-4999-9010-B935A36DAC38}">
  <dimension ref="A2:U107"/>
  <sheetViews>
    <sheetView tabSelected="1" workbookViewId="0">
      <selection activeCell="D12" sqref="D12"/>
    </sheetView>
  </sheetViews>
  <sheetFormatPr baseColWidth="10" defaultRowHeight="13" x14ac:dyDescent="0.3"/>
  <cols>
    <col min="1" max="1" width="3.7265625" style="18" customWidth="1"/>
    <col min="2" max="2" width="10.90625" style="18"/>
    <col min="3" max="3" width="11.6328125" style="18" customWidth="1"/>
    <col min="4" max="4" width="20.54296875" style="18" bestFit="1" customWidth="1"/>
    <col min="5" max="5" width="4.90625" style="18" customWidth="1"/>
    <col min="6" max="6" width="13" style="18" customWidth="1"/>
    <col min="7" max="10" width="12.36328125" style="18" bestFit="1" customWidth="1"/>
    <col min="11" max="11" width="12.26953125" style="18" bestFit="1" customWidth="1"/>
    <col min="12" max="17" width="12.36328125" style="18" bestFit="1" customWidth="1"/>
    <col min="18" max="18" width="13.26953125" style="18" bestFit="1" customWidth="1"/>
    <col min="19" max="20" width="10.90625" style="18"/>
    <col min="21" max="21" width="14.54296875" style="18" bestFit="1" customWidth="1"/>
    <col min="22" max="25" width="10.90625" style="18"/>
    <col min="26" max="26" width="14.54296875" style="18" bestFit="1" customWidth="1"/>
    <col min="27" max="29" width="12.54296875" style="18" bestFit="1" customWidth="1"/>
    <col min="30" max="30" width="14.54296875" style="18" bestFit="1" customWidth="1"/>
    <col min="31" max="16384" width="10.90625" style="18"/>
  </cols>
  <sheetData>
    <row r="2" spans="1:12" x14ac:dyDescent="0.3">
      <c r="A2" s="36"/>
      <c r="B2" s="18" t="s">
        <v>12</v>
      </c>
      <c r="C2" s="18" t="s">
        <v>11</v>
      </c>
      <c r="D2" s="18" t="s">
        <v>13</v>
      </c>
      <c r="E2" s="18" t="s">
        <v>14</v>
      </c>
      <c r="F2" s="23" t="s">
        <v>16</v>
      </c>
      <c r="G2" s="18" t="s">
        <v>15</v>
      </c>
      <c r="H2" s="18" t="s">
        <v>177</v>
      </c>
      <c r="I2" s="23"/>
      <c r="J2" s="23"/>
      <c r="K2" s="23"/>
      <c r="L2" s="23"/>
    </row>
    <row r="3" spans="1:12" x14ac:dyDescent="0.3">
      <c r="A3" s="36"/>
      <c r="B3" s="22">
        <v>9001</v>
      </c>
      <c r="C3" s="22" t="s">
        <v>0</v>
      </c>
      <c r="F3" s="23"/>
      <c r="J3" s="25" t="s">
        <v>231</v>
      </c>
      <c r="K3" s="40" t="s">
        <v>228</v>
      </c>
    </row>
    <row r="4" spans="1:12" x14ac:dyDescent="0.3">
      <c r="A4" s="36"/>
      <c r="C4" s="18">
        <v>1001</v>
      </c>
      <c r="D4" s="18" t="s">
        <v>1</v>
      </c>
      <c r="E4" s="18" t="s">
        <v>18</v>
      </c>
      <c r="F4" s="48">
        <v>1</v>
      </c>
      <c r="G4" s="21">
        <f>VLOOKUP(C4,COMPRAS!B:E,4,0)</f>
        <v>100</v>
      </c>
      <c r="H4" s="21">
        <f t="shared" ref="H4:H13" si="0">F4*G4</f>
        <v>100</v>
      </c>
      <c r="J4" s="25" t="s">
        <v>232</v>
      </c>
      <c r="K4" s="40" t="s">
        <v>229</v>
      </c>
    </row>
    <row r="5" spans="1:12" x14ac:dyDescent="0.3">
      <c r="A5" s="36"/>
      <c r="C5" s="18">
        <v>1002</v>
      </c>
      <c r="D5" s="18" t="s">
        <v>2</v>
      </c>
      <c r="E5" s="18" t="s">
        <v>18</v>
      </c>
      <c r="F5" s="48">
        <v>0.5</v>
      </c>
      <c r="G5" s="21">
        <f>VLOOKUP(C5,COMPRAS!B:E,4,0)</f>
        <v>55</v>
      </c>
      <c r="H5" s="21">
        <f t="shared" si="0"/>
        <v>27.5</v>
      </c>
      <c r="J5" s="25" t="s">
        <v>233</v>
      </c>
      <c r="K5" s="40" t="s">
        <v>230</v>
      </c>
    </row>
    <row r="6" spans="1:12" x14ac:dyDescent="0.3">
      <c r="A6" s="36"/>
      <c r="C6" s="18">
        <v>1003</v>
      </c>
      <c r="D6" s="18" t="s">
        <v>3</v>
      </c>
      <c r="E6" s="18" t="s">
        <v>18</v>
      </c>
      <c r="F6" s="48">
        <v>0.32</v>
      </c>
      <c r="G6" s="21">
        <f>VLOOKUP(C6,COMPRAS!B:E,4,0)</f>
        <v>20</v>
      </c>
      <c r="H6" s="21">
        <f t="shared" si="0"/>
        <v>6.4</v>
      </c>
    </row>
    <row r="7" spans="1:12" x14ac:dyDescent="0.3">
      <c r="A7" s="36"/>
      <c r="C7" s="18">
        <v>1004</v>
      </c>
      <c r="D7" s="18" t="s">
        <v>4</v>
      </c>
      <c r="E7" s="18" t="s">
        <v>18</v>
      </c>
      <c r="F7" s="48">
        <v>2</v>
      </c>
      <c r="G7" s="21">
        <f>VLOOKUP(C7,COMPRAS!B:E,4,0)</f>
        <v>34</v>
      </c>
      <c r="H7" s="21">
        <f t="shared" si="0"/>
        <v>68</v>
      </c>
    </row>
    <row r="8" spans="1:12" x14ac:dyDescent="0.3">
      <c r="A8" s="36"/>
      <c r="C8" s="18">
        <v>1005</v>
      </c>
      <c r="D8" s="18" t="s">
        <v>5</v>
      </c>
      <c r="E8" s="18" t="s">
        <v>18</v>
      </c>
      <c r="F8" s="48">
        <v>0.67</v>
      </c>
      <c r="G8" s="21">
        <f>VLOOKUP(C8,COMPRAS!B:E,4,0)</f>
        <v>15</v>
      </c>
      <c r="H8" s="21">
        <f t="shared" si="0"/>
        <v>10.050000000000001</v>
      </c>
    </row>
    <row r="9" spans="1:12" x14ac:dyDescent="0.3">
      <c r="A9" s="36"/>
      <c r="C9" s="18">
        <v>1006</v>
      </c>
      <c r="D9" s="18" t="s">
        <v>6</v>
      </c>
      <c r="E9" s="18" t="s">
        <v>18</v>
      </c>
      <c r="F9" s="48">
        <v>0.2</v>
      </c>
      <c r="G9" s="21">
        <f>VLOOKUP(C9,COMPRAS!B:E,4,0)</f>
        <v>67</v>
      </c>
      <c r="H9" s="21">
        <f t="shared" si="0"/>
        <v>13.4</v>
      </c>
    </row>
    <row r="10" spans="1:12" x14ac:dyDescent="0.3">
      <c r="A10" s="36"/>
      <c r="C10" s="18">
        <v>1007</v>
      </c>
      <c r="D10" s="18" t="s">
        <v>7</v>
      </c>
      <c r="E10" s="18" t="s">
        <v>18</v>
      </c>
      <c r="F10" s="48">
        <v>0.1</v>
      </c>
      <c r="G10" s="21">
        <f>VLOOKUP(C10,COMPRAS!B:E,4,0)</f>
        <v>22</v>
      </c>
      <c r="H10" s="21">
        <f t="shared" si="0"/>
        <v>2.2000000000000002</v>
      </c>
    </row>
    <row r="11" spans="1:12" x14ac:dyDescent="0.3">
      <c r="A11" s="36"/>
      <c r="C11" s="18">
        <v>1008</v>
      </c>
      <c r="D11" s="18" t="s">
        <v>8</v>
      </c>
      <c r="E11" s="18" t="s">
        <v>18</v>
      </c>
      <c r="F11" s="48">
        <v>0.8</v>
      </c>
      <c r="G11" s="21">
        <f>VLOOKUP(C11,COMPRAS!B:E,4,0)</f>
        <v>35</v>
      </c>
      <c r="H11" s="21">
        <f t="shared" si="0"/>
        <v>28</v>
      </c>
    </row>
    <row r="12" spans="1:12" x14ac:dyDescent="0.3">
      <c r="A12" s="36"/>
      <c r="C12" s="18">
        <v>1009</v>
      </c>
      <c r="D12" s="18" t="s">
        <v>9</v>
      </c>
      <c r="E12" s="18" t="s">
        <v>19</v>
      </c>
      <c r="F12" s="48">
        <v>1</v>
      </c>
      <c r="G12" s="21">
        <f>VLOOKUP(C12,COMPRAS!B:E,4,0)</f>
        <v>15</v>
      </c>
      <c r="H12" s="21">
        <f t="shared" si="0"/>
        <v>15</v>
      </c>
    </row>
    <row r="13" spans="1:12" x14ac:dyDescent="0.3">
      <c r="A13" s="36"/>
      <c r="C13" s="18">
        <v>1010</v>
      </c>
      <c r="D13" s="18" t="s">
        <v>10</v>
      </c>
      <c r="E13" s="18" t="s">
        <v>19</v>
      </c>
      <c r="F13" s="48">
        <v>1</v>
      </c>
      <c r="G13" s="21">
        <f>VLOOKUP(C13,COMPRAS!B:E,4,0)</f>
        <v>10</v>
      </c>
      <c r="H13" s="21">
        <f t="shared" si="0"/>
        <v>10</v>
      </c>
    </row>
    <row r="14" spans="1:12" x14ac:dyDescent="0.3">
      <c r="A14" s="36"/>
      <c r="C14" s="24" t="s">
        <v>178</v>
      </c>
      <c r="D14" s="18" t="s">
        <v>23</v>
      </c>
      <c r="E14" s="18" t="s">
        <v>26</v>
      </c>
      <c r="F14" s="48">
        <v>5</v>
      </c>
      <c r="G14" s="21"/>
      <c r="H14" s="21"/>
    </row>
    <row r="15" spans="1:12" x14ac:dyDescent="0.3">
      <c r="A15" s="36"/>
      <c r="C15" s="24" t="s">
        <v>179</v>
      </c>
      <c r="D15" s="18" t="s">
        <v>24</v>
      </c>
      <c r="E15" s="18" t="s">
        <v>26</v>
      </c>
      <c r="F15" s="48">
        <v>7</v>
      </c>
      <c r="G15" s="21"/>
      <c r="H15" s="21"/>
    </row>
    <row r="16" spans="1:12" x14ac:dyDescent="0.3">
      <c r="A16" s="36"/>
      <c r="C16" s="24" t="s">
        <v>180</v>
      </c>
      <c r="D16" s="18" t="s">
        <v>25</v>
      </c>
      <c r="E16" s="18" t="s">
        <v>26</v>
      </c>
      <c r="F16" s="48">
        <v>4</v>
      </c>
      <c r="G16" s="21"/>
      <c r="H16" s="21"/>
    </row>
    <row r="17" spans="1:8" x14ac:dyDescent="0.3">
      <c r="A17" s="36"/>
    </row>
    <row r="18" spans="1:8" x14ac:dyDescent="0.3">
      <c r="A18" s="36"/>
      <c r="B18" s="22">
        <v>9002</v>
      </c>
      <c r="C18" s="22" t="s">
        <v>166</v>
      </c>
      <c r="F18" s="23"/>
    </row>
    <row r="19" spans="1:8" x14ac:dyDescent="0.3">
      <c r="A19" s="36"/>
      <c r="C19" s="18">
        <v>1001</v>
      </c>
      <c r="D19" s="18" t="s">
        <v>1</v>
      </c>
      <c r="E19" s="18" t="s">
        <v>18</v>
      </c>
      <c r="F19" s="48">
        <f t="shared" ref="F19:F26" si="1">F4*0.84</f>
        <v>0.84</v>
      </c>
      <c r="G19" s="21">
        <f>VLOOKUP(C19,COMPRAS!B:E,4,0)</f>
        <v>100</v>
      </c>
      <c r="H19" s="21">
        <f t="shared" ref="H19:H28" si="2">F19*G19</f>
        <v>84</v>
      </c>
    </row>
    <row r="20" spans="1:8" x14ac:dyDescent="0.3">
      <c r="A20" s="36"/>
      <c r="C20" s="18">
        <v>1002</v>
      </c>
      <c r="D20" s="18" t="s">
        <v>2</v>
      </c>
      <c r="E20" s="18" t="s">
        <v>18</v>
      </c>
      <c r="F20" s="48">
        <f t="shared" si="1"/>
        <v>0.42</v>
      </c>
      <c r="G20" s="21">
        <f>VLOOKUP(C20,COMPRAS!B:E,4,0)</f>
        <v>55</v>
      </c>
      <c r="H20" s="21">
        <f t="shared" si="2"/>
        <v>23.099999999999998</v>
      </c>
    </row>
    <row r="21" spans="1:8" x14ac:dyDescent="0.3">
      <c r="A21" s="36"/>
      <c r="C21" s="18">
        <v>1003</v>
      </c>
      <c r="D21" s="18" t="s">
        <v>3</v>
      </c>
      <c r="E21" s="18" t="s">
        <v>18</v>
      </c>
      <c r="F21" s="48">
        <f t="shared" si="1"/>
        <v>0.26879999999999998</v>
      </c>
      <c r="G21" s="21">
        <f>VLOOKUP(C21,COMPRAS!B:E,4,0)</f>
        <v>20</v>
      </c>
      <c r="H21" s="21">
        <f t="shared" si="2"/>
        <v>5.3759999999999994</v>
      </c>
    </row>
    <row r="22" spans="1:8" x14ac:dyDescent="0.3">
      <c r="A22" s="36"/>
      <c r="C22" s="18">
        <v>1004</v>
      </c>
      <c r="D22" s="18" t="s">
        <v>4</v>
      </c>
      <c r="E22" s="18" t="s">
        <v>18</v>
      </c>
      <c r="F22" s="48">
        <f t="shared" si="1"/>
        <v>1.68</v>
      </c>
      <c r="G22" s="21">
        <f>VLOOKUP(C22,COMPRAS!B:E,4,0)</f>
        <v>34</v>
      </c>
      <c r="H22" s="21">
        <f t="shared" si="2"/>
        <v>57.12</v>
      </c>
    </row>
    <row r="23" spans="1:8" x14ac:dyDescent="0.3">
      <c r="A23" s="36"/>
      <c r="C23" s="18">
        <v>1005</v>
      </c>
      <c r="D23" s="18" t="s">
        <v>5</v>
      </c>
      <c r="E23" s="18" t="s">
        <v>18</v>
      </c>
      <c r="F23" s="48">
        <f t="shared" si="1"/>
        <v>0.56279999999999997</v>
      </c>
      <c r="G23" s="21">
        <f>VLOOKUP(C23,COMPRAS!B:E,4,0)</f>
        <v>15</v>
      </c>
      <c r="H23" s="21">
        <f t="shared" si="2"/>
        <v>8.4420000000000002</v>
      </c>
    </row>
    <row r="24" spans="1:8" x14ac:dyDescent="0.3">
      <c r="A24" s="36"/>
      <c r="C24" s="18">
        <v>1006</v>
      </c>
      <c r="D24" s="18" t="s">
        <v>6</v>
      </c>
      <c r="E24" s="18" t="s">
        <v>18</v>
      </c>
      <c r="F24" s="48">
        <f t="shared" si="1"/>
        <v>0.16800000000000001</v>
      </c>
      <c r="G24" s="21">
        <f>VLOOKUP(C24,COMPRAS!B:E,4,0)</f>
        <v>67</v>
      </c>
      <c r="H24" s="21">
        <f t="shared" si="2"/>
        <v>11.256</v>
      </c>
    </row>
    <row r="25" spans="1:8" x14ac:dyDescent="0.3">
      <c r="A25" s="36"/>
      <c r="C25" s="18">
        <v>1007</v>
      </c>
      <c r="D25" s="18" t="s">
        <v>7</v>
      </c>
      <c r="E25" s="18" t="s">
        <v>18</v>
      </c>
      <c r="F25" s="48">
        <f t="shared" si="1"/>
        <v>8.4000000000000005E-2</v>
      </c>
      <c r="G25" s="21">
        <f>VLOOKUP(C25,COMPRAS!B:E,4,0)</f>
        <v>22</v>
      </c>
      <c r="H25" s="21">
        <f t="shared" si="2"/>
        <v>1.8480000000000001</v>
      </c>
    </row>
    <row r="26" spans="1:8" x14ac:dyDescent="0.3">
      <c r="A26" s="36"/>
      <c r="C26" s="18">
        <v>1008</v>
      </c>
      <c r="D26" s="18" t="s">
        <v>8</v>
      </c>
      <c r="E26" s="18" t="s">
        <v>18</v>
      </c>
      <c r="F26" s="48">
        <f t="shared" si="1"/>
        <v>0.67200000000000004</v>
      </c>
      <c r="G26" s="21">
        <f>VLOOKUP(C26,COMPRAS!B:E,4,0)</f>
        <v>35</v>
      </c>
      <c r="H26" s="21">
        <f t="shared" si="2"/>
        <v>23.520000000000003</v>
      </c>
    </row>
    <row r="27" spans="1:8" x14ac:dyDescent="0.3">
      <c r="A27" s="36"/>
      <c r="C27" s="18">
        <v>1009</v>
      </c>
      <c r="D27" s="18" t="s">
        <v>9</v>
      </c>
      <c r="E27" s="18" t="s">
        <v>19</v>
      </c>
      <c r="F27" s="48">
        <v>1</v>
      </c>
      <c r="G27" s="21">
        <f>VLOOKUP(C27,COMPRAS!B:E,4,0)</f>
        <v>15</v>
      </c>
      <c r="H27" s="21">
        <f t="shared" si="2"/>
        <v>15</v>
      </c>
    </row>
    <row r="28" spans="1:8" x14ac:dyDescent="0.3">
      <c r="A28" s="36"/>
      <c r="C28" s="18">
        <v>1010</v>
      </c>
      <c r="D28" s="18" t="s">
        <v>10</v>
      </c>
      <c r="E28" s="18" t="s">
        <v>19</v>
      </c>
      <c r="F28" s="48">
        <v>1</v>
      </c>
      <c r="G28" s="21">
        <f>VLOOKUP(C28,COMPRAS!B:E,4,0)</f>
        <v>10</v>
      </c>
      <c r="H28" s="21">
        <f t="shared" si="2"/>
        <v>10</v>
      </c>
    </row>
    <row r="29" spans="1:8" x14ac:dyDescent="0.3">
      <c r="A29" s="36"/>
      <c r="C29" s="24" t="s">
        <v>178</v>
      </c>
      <c r="D29" s="18" t="s">
        <v>23</v>
      </c>
      <c r="E29" s="18" t="s">
        <v>26</v>
      </c>
      <c r="F29" s="48">
        <f>F14*1.1</f>
        <v>5.5</v>
      </c>
      <c r="G29" s="21"/>
      <c r="H29" s="21"/>
    </row>
    <row r="30" spans="1:8" x14ac:dyDescent="0.3">
      <c r="A30" s="36"/>
      <c r="C30" s="24" t="s">
        <v>179</v>
      </c>
      <c r="D30" s="18" t="s">
        <v>24</v>
      </c>
      <c r="E30" s="18" t="s">
        <v>26</v>
      </c>
      <c r="F30" s="48">
        <f>F15*1.1</f>
        <v>7.7000000000000011</v>
      </c>
      <c r="G30" s="21"/>
      <c r="H30" s="21"/>
    </row>
    <row r="31" spans="1:8" x14ac:dyDescent="0.3">
      <c r="A31" s="36"/>
      <c r="C31" s="24" t="s">
        <v>180</v>
      </c>
      <c r="D31" s="18" t="s">
        <v>25</v>
      </c>
      <c r="E31" s="18" t="s">
        <v>26</v>
      </c>
      <c r="F31" s="48">
        <f>F16*1.1</f>
        <v>4.4000000000000004</v>
      </c>
      <c r="G31" s="21"/>
      <c r="H31" s="21"/>
    </row>
    <row r="32" spans="1:8" x14ac:dyDescent="0.3">
      <c r="A32" s="36"/>
    </row>
    <row r="33" spans="1:8" x14ac:dyDescent="0.3">
      <c r="A33" s="36"/>
      <c r="B33" s="22">
        <v>9003</v>
      </c>
      <c r="C33" s="22" t="s">
        <v>167</v>
      </c>
      <c r="F33" s="23"/>
    </row>
    <row r="34" spans="1:8" x14ac:dyDescent="0.3">
      <c r="A34" s="36"/>
      <c r="C34" s="18">
        <v>1001</v>
      </c>
      <c r="D34" s="18" t="s">
        <v>1</v>
      </c>
      <c r="E34" s="18" t="s">
        <v>18</v>
      </c>
      <c r="F34" s="48">
        <f t="shared" ref="F34:F41" si="3">F4*1.05</f>
        <v>1.05</v>
      </c>
      <c r="G34" s="21">
        <f>VLOOKUP(C34,COMPRAS!B:E,4,0)</f>
        <v>100</v>
      </c>
      <c r="H34" s="21">
        <f t="shared" ref="H34:H43" si="4">F34*G34</f>
        <v>105</v>
      </c>
    </row>
    <row r="35" spans="1:8" x14ac:dyDescent="0.3">
      <c r="A35" s="36"/>
      <c r="C35" s="18">
        <v>1002</v>
      </c>
      <c r="D35" s="18" t="s">
        <v>2</v>
      </c>
      <c r="E35" s="18" t="s">
        <v>18</v>
      </c>
      <c r="F35" s="48">
        <f t="shared" si="3"/>
        <v>0.52500000000000002</v>
      </c>
      <c r="G35" s="21">
        <f>VLOOKUP(C35,COMPRAS!B:E,4,0)</f>
        <v>55</v>
      </c>
      <c r="H35" s="21">
        <f t="shared" si="4"/>
        <v>28.875</v>
      </c>
    </row>
    <row r="36" spans="1:8" x14ac:dyDescent="0.3">
      <c r="A36" s="36"/>
      <c r="C36" s="18">
        <v>1003</v>
      </c>
      <c r="D36" s="18" t="s">
        <v>3</v>
      </c>
      <c r="E36" s="18" t="s">
        <v>18</v>
      </c>
      <c r="F36" s="48">
        <f t="shared" si="3"/>
        <v>0.33600000000000002</v>
      </c>
      <c r="G36" s="21">
        <f>VLOOKUP(C36,COMPRAS!B:E,4,0)</f>
        <v>20</v>
      </c>
      <c r="H36" s="21">
        <f t="shared" si="4"/>
        <v>6.7200000000000006</v>
      </c>
    </row>
    <row r="37" spans="1:8" x14ac:dyDescent="0.3">
      <c r="A37" s="36"/>
      <c r="C37" s="18">
        <v>1004</v>
      </c>
      <c r="D37" s="18" t="s">
        <v>4</v>
      </c>
      <c r="E37" s="18" t="s">
        <v>18</v>
      </c>
      <c r="F37" s="48">
        <f t="shared" si="3"/>
        <v>2.1</v>
      </c>
      <c r="G37" s="21">
        <f>VLOOKUP(C37,COMPRAS!B:E,4,0)</f>
        <v>34</v>
      </c>
      <c r="H37" s="21">
        <f t="shared" si="4"/>
        <v>71.400000000000006</v>
      </c>
    </row>
    <row r="38" spans="1:8" x14ac:dyDescent="0.3">
      <c r="A38" s="36"/>
      <c r="C38" s="18">
        <v>1005</v>
      </c>
      <c r="D38" s="18" t="s">
        <v>5</v>
      </c>
      <c r="E38" s="18" t="s">
        <v>18</v>
      </c>
      <c r="F38" s="48">
        <f t="shared" si="3"/>
        <v>0.70350000000000013</v>
      </c>
      <c r="G38" s="21">
        <f>VLOOKUP(C38,COMPRAS!B:E,4,0)</f>
        <v>15</v>
      </c>
      <c r="H38" s="21">
        <f t="shared" si="4"/>
        <v>10.552500000000002</v>
      </c>
    </row>
    <row r="39" spans="1:8" x14ac:dyDescent="0.3">
      <c r="A39" s="36"/>
      <c r="C39" s="18">
        <v>1006</v>
      </c>
      <c r="D39" s="18" t="s">
        <v>6</v>
      </c>
      <c r="E39" s="18" t="s">
        <v>18</v>
      </c>
      <c r="F39" s="48">
        <f t="shared" si="3"/>
        <v>0.21000000000000002</v>
      </c>
      <c r="G39" s="21">
        <f>VLOOKUP(C39,COMPRAS!B:E,4,0)</f>
        <v>67</v>
      </c>
      <c r="H39" s="21">
        <f t="shared" si="4"/>
        <v>14.070000000000002</v>
      </c>
    </row>
    <row r="40" spans="1:8" x14ac:dyDescent="0.3">
      <c r="A40" s="36"/>
      <c r="C40" s="18">
        <v>1007</v>
      </c>
      <c r="D40" s="18" t="s">
        <v>7</v>
      </c>
      <c r="E40" s="18" t="s">
        <v>18</v>
      </c>
      <c r="F40" s="48">
        <f t="shared" si="3"/>
        <v>0.10500000000000001</v>
      </c>
      <c r="G40" s="21">
        <f>VLOOKUP(C40,COMPRAS!B:E,4,0)</f>
        <v>22</v>
      </c>
      <c r="H40" s="21">
        <f t="shared" si="4"/>
        <v>2.31</v>
      </c>
    </row>
    <row r="41" spans="1:8" x14ac:dyDescent="0.3">
      <c r="A41" s="36"/>
      <c r="C41" s="18">
        <v>1008</v>
      </c>
      <c r="D41" s="18" t="s">
        <v>8</v>
      </c>
      <c r="E41" s="18" t="s">
        <v>18</v>
      </c>
      <c r="F41" s="48">
        <f t="shared" si="3"/>
        <v>0.84000000000000008</v>
      </c>
      <c r="G41" s="21">
        <f>VLOOKUP(C41,COMPRAS!B:E,4,0)</f>
        <v>35</v>
      </c>
      <c r="H41" s="21">
        <f t="shared" si="4"/>
        <v>29.400000000000002</v>
      </c>
    </row>
    <row r="42" spans="1:8" x14ac:dyDescent="0.3">
      <c r="A42" s="36"/>
      <c r="C42" s="18">
        <v>1009</v>
      </c>
      <c r="D42" s="18" t="s">
        <v>9</v>
      </c>
      <c r="E42" s="18" t="s">
        <v>19</v>
      </c>
      <c r="F42" s="48">
        <v>1</v>
      </c>
      <c r="G42" s="21">
        <f>VLOOKUP(C42,COMPRAS!B:E,4,0)</f>
        <v>15</v>
      </c>
      <c r="H42" s="21">
        <f t="shared" si="4"/>
        <v>15</v>
      </c>
    </row>
    <row r="43" spans="1:8" x14ac:dyDescent="0.3">
      <c r="A43" s="36"/>
      <c r="C43" s="18">
        <v>1010</v>
      </c>
      <c r="D43" s="18" t="s">
        <v>10</v>
      </c>
      <c r="E43" s="18" t="s">
        <v>19</v>
      </c>
      <c r="F43" s="48">
        <v>1</v>
      </c>
      <c r="G43" s="21">
        <f>VLOOKUP(C43,COMPRAS!B:E,4,0)</f>
        <v>10</v>
      </c>
      <c r="H43" s="21">
        <f t="shared" si="4"/>
        <v>10</v>
      </c>
    </row>
    <row r="44" spans="1:8" x14ac:dyDescent="0.3">
      <c r="A44" s="36"/>
      <c r="C44" s="24" t="s">
        <v>174</v>
      </c>
      <c r="D44" s="18" t="s">
        <v>23</v>
      </c>
      <c r="E44" s="18" t="s">
        <v>26</v>
      </c>
      <c r="F44" s="48">
        <f>F14*0.9</f>
        <v>4.5</v>
      </c>
      <c r="G44" s="21"/>
      <c r="H44" s="21"/>
    </row>
    <row r="45" spans="1:8" x14ac:dyDescent="0.3">
      <c r="A45" s="36"/>
      <c r="C45" s="24" t="s">
        <v>175</v>
      </c>
      <c r="D45" s="18" t="s">
        <v>24</v>
      </c>
      <c r="E45" s="18" t="s">
        <v>26</v>
      </c>
      <c r="F45" s="48">
        <f>F15*0.9</f>
        <v>6.3</v>
      </c>
      <c r="G45" s="21"/>
      <c r="H45" s="21"/>
    </row>
    <row r="46" spans="1:8" x14ac:dyDescent="0.3">
      <c r="A46" s="36"/>
      <c r="C46" s="24" t="s">
        <v>176</v>
      </c>
      <c r="D46" s="18" t="s">
        <v>25</v>
      </c>
      <c r="E46" s="18" t="s">
        <v>26</v>
      </c>
      <c r="F46" s="48">
        <f>F16*0.9</f>
        <v>3.6</v>
      </c>
      <c r="G46" s="21"/>
      <c r="H46" s="21"/>
    </row>
    <row r="49" spans="1:21" x14ac:dyDescent="0.3">
      <c r="A49" s="36"/>
      <c r="D49" s="22" t="s">
        <v>173</v>
      </c>
    </row>
    <row r="50" spans="1:21" x14ac:dyDescent="0.3">
      <c r="A50" s="36"/>
      <c r="D50" s="18" t="s">
        <v>168</v>
      </c>
      <c r="F50" s="48">
        <v>100000</v>
      </c>
    </row>
    <row r="51" spans="1:21" x14ac:dyDescent="0.3">
      <c r="A51" s="36"/>
      <c r="D51" s="18" t="s">
        <v>169</v>
      </c>
      <c r="E51" s="19">
        <v>0.8</v>
      </c>
      <c r="F51" s="49">
        <f>F50*E51</f>
        <v>80000</v>
      </c>
    </row>
    <row r="52" spans="1:21" x14ac:dyDescent="0.3">
      <c r="A52" s="36"/>
      <c r="D52" s="18" t="s">
        <v>170</v>
      </c>
      <c r="F52" s="48">
        <v>75000</v>
      </c>
    </row>
    <row r="54" spans="1:21" x14ac:dyDescent="0.3">
      <c r="A54" s="37"/>
      <c r="F54" s="50">
        <v>26</v>
      </c>
      <c r="G54" s="50">
        <v>24</v>
      </c>
      <c r="H54" s="50">
        <v>26</v>
      </c>
      <c r="I54" s="50">
        <v>25</v>
      </c>
      <c r="J54" s="50">
        <v>26</v>
      </c>
      <c r="K54" s="50">
        <v>24</v>
      </c>
      <c r="L54" s="50">
        <v>26</v>
      </c>
      <c r="M54" s="50">
        <v>26</v>
      </c>
      <c r="N54" s="50">
        <v>24</v>
      </c>
      <c r="O54" s="50">
        <v>25</v>
      </c>
      <c r="P54" s="50">
        <v>24</v>
      </c>
      <c r="Q54" s="50">
        <v>24</v>
      </c>
      <c r="R54" s="50">
        <f>SUM(F54:Q54)</f>
        <v>300</v>
      </c>
    </row>
    <row r="55" spans="1:21" x14ac:dyDescent="0.3">
      <c r="A55" s="37"/>
      <c r="C55" s="18" t="s">
        <v>172</v>
      </c>
      <c r="D55" s="18" t="s">
        <v>171</v>
      </c>
      <c r="F55" s="18" t="s">
        <v>103</v>
      </c>
      <c r="G55" s="18" t="s">
        <v>104</v>
      </c>
      <c r="H55" s="18" t="s">
        <v>105</v>
      </c>
      <c r="I55" s="18" t="s">
        <v>106</v>
      </c>
      <c r="J55" s="18" t="s">
        <v>107</v>
      </c>
      <c r="K55" s="18" t="s">
        <v>108</v>
      </c>
      <c r="L55" s="18" t="s">
        <v>109</v>
      </c>
      <c r="M55" s="18" t="s">
        <v>110</v>
      </c>
      <c r="N55" s="18" t="s">
        <v>111</v>
      </c>
      <c r="O55" s="18" t="s">
        <v>112</v>
      </c>
      <c r="P55" s="18" t="s">
        <v>113</v>
      </c>
      <c r="Q55" s="18" t="s">
        <v>114</v>
      </c>
      <c r="R55" s="18" t="s">
        <v>17</v>
      </c>
    </row>
    <row r="56" spans="1:21" x14ac:dyDescent="0.3">
      <c r="A56" s="37"/>
      <c r="C56" s="18">
        <v>9001</v>
      </c>
      <c r="D56" s="18" t="s">
        <v>0</v>
      </c>
      <c r="F56" s="48">
        <v>25000</v>
      </c>
      <c r="G56" s="21">
        <f t="shared" ref="G56:Q56" si="5">$F$56/F54*$G$54</f>
        <v>23076.923076923078</v>
      </c>
      <c r="H56" s="21">
        <f t="shared" si="5"/>
        <v>25000</v>
      </c>
      <c r="I56" s="21">
        <f t="shared" si="5"/>
        <v>23076.923076923078</v>
      </c>
      <c r="J56" s="21">
        <f t="shared" si="5"/>
        <v>24000</v>
      </c>
      <c r="K56" s="21">
        <f t="shared" si="5"/>
        <v>23076.923076923078</v>
      </c>
      <c r="L56" s="21">
        <f t="shared" si="5"/>
        <v>25000</v>
      </c>
      <c r="M56" s="21">
        <f t="shared" si="5"/>
        <v>23076.923076923078</v>
      </c>
      <c r="N56" s="21">
        <f t="shared" si="5"/>
        <v>23076.923076923078</v>
      </c>
      <c r="O56" s="21">
        <f t="shared" si="5"/>
        <v>25000</v>
      </c>
      <c r="P56" s="21">
        <f t="shared" si="5"/>
        <v>24000</v>
      </c>
      <c r="Q56" s="21">
        <f t="shared" si="5"/>
        <v>25000</v>
      </c>
      <c r="R56" s="21">
        <f>SUM(F56:Q56)</f>
        <v>288384.61538461538</v>
      </c>
    </row>
    <row r="57" spans="1:21" x14ac:dyDescent="0.3">
      <c r="A57" s="37"/>
      <c r="C57" s="18">
        <v>9002</v>
      </c>
      <c r="D57" s="18" t="s">
        <v>166</v>
      </c>
      <c r="F57" s="48">
        <v>30000</v>
      </c>
      <c r="G57" s="21">
        <f t="shared" ref="G57:Q57" si="6">$F$57/F54*$G$54</f>
        <v>27692.307692307691</v>
      </c>
      <c r="H57" s="21">
        <f t="shared" si="6"/>
        <v>30000</v>
      </c>
      <c r="I57" s="21">
        <f t="shared" si="6"/>
        <v>27692.307692307691</v>
      </c>
      <c r="J57" s="21">
        <f t="shared" si="6"/>
        <v>28800</v>
      </c>
      <c r="K57" s="21">
        <f t="shared" si="6"/>
        <v>27692.307692307691</v>
      </c>
      <c r="L57" s="21">
        <f t="shared" si="6"/>
        <v>30000</v>
      </c>
      <c r="M57" s="21">
        <f t="shared" si="6"/>
        <v>27692.307692307691</v>
      </c>
      <c r="N57" s="21">
        <f t="shared" si="6"/>
        <v>27692.307692307691</v>
      </c>
      <c r="O57" s="21">
        <f t="shared" si="6"/>
        <v>30000</v>
      </c>
      <c r="P57" s="21">
        <f t="shared" si="6"/>
        <v>28800</v>
      </c>
      <c r="Q57" s="21">
        <f t="shared" si="6"/>
        <v>30000</v>
      </c>
      <c r="R57" s="21">
        <f>SUM(F57:Q57)</f>
        <v>346061.53846153844</v>
      </c>
    </row>
    <row r="58" spans="1:21" x14ac:dyDescent="0.3">
      <c r="A58" s="37"/>
      <c r="C58" s="18">
        <v>9003</v>
      </c>
      <c r="D58" s="18" t="s">
        <v>167</v>
      </c>
      <c r="F58" s="48">
        <v>20000</v>
      </c>
      <c r="G58" s="21">
        <f t="shared" ref="G58:Q58" si="7">$F$58/F54*$G$54</f>
        <v>18461.538461538461</v>
      </c>
      <c r="H58" s="21">
        <f t="shared" si="7"/>
        <v>20000</v>
      </c>
      <c r="I58" s="21">
        <f t="shared" si="7"/>
        <v>18461.538461538461</v>
      </c>
      <c r="J58" s="21">
        <f t="shared" si="7"/>
        <v>19200</v>
      </c>
      <c r="K58" s="21">
        <f t="shared" si="7"/>
        <v>18461.538461538461</v>
      </c>
      <c r="L58" s="21">
        <f t="shared" si="7"/>
        <v>20000</v>
      </c>
      <c r="M58" s="21">
        <f t="shared" si="7"/>
        <v>18461.538461538461</v>
      </c>
      <c r="N58" s="21">
        <f t="shared" si="7"/>
        <v>18461.538461538461</v>
      </c>
      <c r="O58" s="21">
        <f t="shared" si="7"/>
        <v>20000</v>
      </c>
      <c r="P58" s="21">
        <f t="shared" si="7"/>
        <v>19200</v>
      </c>
      <c r="Q58" s="21">
        <f t="shared" si="7"/>
        <v>20000</v>
      </c>
      <c r="R58" s="21">
        <f>SUM(F58:Q58)</f>
        <v>230707.69230769231</v>
      </c>
    </row>
    <row r="59" spans="1:21" x14ac:dyDescent="0.3">
      <c r="F59" s="48">
        <f t="shared" ref="F59:R59" si="8">SUM(F56:F58)</f>
        <v>75000</v>
      </c>
      <c r="G59" s="21">
        <f t="shared" si="8"/>
        <v>69230.76923076922</v>
      </c>
      <c r="H59" s="21">
        <f t="shared" si="8"/>
        <v>75000</v>
      </c>
      <c r="I59" s="21">
        <f t="shared" si="8"/>
        <v>69230.76923076922</v>
      </c>
      <c r="J59" s="21">
        <f t="shared" si="8"/>
        <v>72000</v>
      </c>
      <c r="K59" s="21">
        <f t="shared" si="8"/>
        <v>69230.76923076922</v>
      </c>
      <c r="L59" s="21">
        <f t="shared" si="8"/>
        <v>75000</v>
      </c>
      <c r="M59" s="21">
        <f t="shared" si="8"/>
        <v>69230.76923076922</v>
      </c>
      <c r="N59" s="21">
        <f t="shared" si="8"/>
        <v>69230.76923076922</v>
      </c>
      <c r="O59" s="21">
        <f t="shared" si="8"/>
        <v>75000</v>
      </c>
      <c r="P59" s="21">
        <f t="shared" si="8"/>
        <v>72000</v>
      </c>
      <c r="Q59" s="21">
        <f t="shared" si="8"/>
        <v>75000</v>
      </c>
      <c r="R59" s="21">
        <f t="shared" si="8"/>
        <v>865153.84615384601</v>
      </c>
    </row>
    <row r="62" spans="1:21" x14ac:dyDescent="0.3">
      <c r="A62" s="37"/>
      <c r="B62" s="27" t="s">
        <v>192</v>
      </c>
      <c r="C62" s="28"/>
    </row>
    <row r="63" spans="1:21" x14ac:dyDescent="0.3">
      <c r="A63" s="37"/>
      <c r="B63" s="18">
        <v>9001</v>
      </c>
      <c r="C63" s="18" t="s">
        <v>0</v>
      </c>
      <c r="F63" s="23"/>
    </row>
    <row r="64" spans="1:21" x14ac:dyDescent="0.3">
      <c r="A64" s="37"/>
      <c r="C64" s="18">
        <v>1001</v>
      </c>
      <c r="D64" s="18" t="s">
        <v>1</v>
      </c>
      <c r="E64" s="18" t="s">
        <v>18</v>
      </c>
      <c r="F64" s="21">
        <f t="shared" ref="F64:F76" si="9">F4*$F$56</f>
        <v>25000</v>
      </c>
      <c r="G64" s="21">
        <f t="shared" ref="G64:G76" si="10">F4*$G$56</f>
        <v>23076.923076923078</v>
      </c>
      <c r="H64" s="21">
        <f t="shared" ref="H64:H76" si="11">F4*$H$56</f>
        <v>25000</v>
      </c>
      <c r="I64" s="21">
        <f t="shared" ref="I64:I76" si="12">F4*$I$56</f>
        <v>23076.923076923078</v>
      </c>
      <c r="J64" s="21">
        <f t="shared" ref="J64:J76" si="13">F4*$J$56</f>
        <v>24000</v>
      </c>
      <c r="K64" s="21">
        <f t="shared" ref="K64:K76" si="14">F4*$K$56</f>
        <v>23076.923076923078</v>
      </c>
      <c r="L64" s="21">
        <f t="shared" ref="L64:L76" si="15">F4*$L$56</f>
        <v>25000</v>
      </c>
      <c r="M64" s="21">
        <f t="shared" ref="M64:M76" si="16">F4*$M$56</f>
        <v>23076.923076923078</v>
      </c>
      <c r="N64" s="21">
        <f t="shared" ref="N64:N76" si="17">F4*$N$56</f>
        <v>23076.923076923078</v>
      </c>
      <c r="O64" s="21">
        <f t="shared" ref="O64:O76" si="18">F4*$O$56</f>
        <v>25000</v>
      </c>
      <c r="P64" s="21">
        <f t="shared" ref="P64:P76" si="19">F4*$P$56</f>
        <v>24000</v>
      </c>
      <c r="Q64" s="21">
        <f t="shared" ref="Q64:Q76" si="20">F4*$Q$56</f>
        <v>25000</v>
      </c>
      <c r="R64" s="20">
        <f t="shared" ref="R64:R76" si="21">SUM(F64:Q64)</f>
        <v>288384.61538461538</v>
      </c>
      <c r="T64" s="20">
        <f t="shared" ref="T64:T73" si="22">G4</f>
        <v>100</v>
      </c>
      <c r="U64" s="21">
        <f t="shared" ref="U64:U73" si="23">R64*T64</f>
        <v>28838461.538461536</v>
      </c>
    </row>
    <row r="65" spans="1:21" x14ac:dyDescent="0.3">
      <c r="A65" s="37"/>
      <c r="C65" s="18">
        <v>1002</v>
      </c>
      <c r="D65" s="18" t="s">
        <v>2</v>
      </c>
      <c r="E65" s="18" t="s">
        <v>18</v>
      </c>
      <c r="F65" s="21">
        <f t="shared" si="9"/>
        <v>12500</v>
      </c>
      <c r="G65" s="21">
        <f t="shared" si="10"/>
        <v>11538.461538461539</v>
      </c>
      <c r="H65" s="21">
        <f t="shared" si="11"/>
        <v>12500</v>
      </c>
      <c r="I65" s="21">
        <f t="shared" si="12"/>
        <v>11538.461538461539</v>
      </c>
      <c r="J65" s="21">
        <f t="shared" si="13"/>
        <v>12000</v>
      </c>
      <c r="K65" s="21">
        <f t="shared" si="14"/>
        <v>11538.461538461539</v>
      </c>
      <c r="L65" s="21">
        <f t="shared" si="15"/>
        <v>12500</v>
      </c>
      <c r="M65" s="21">
        <f t="shared" si="16"/>
        <v>11538.461538461539</v>
      </c>
      <c r="N65" s="21">
        <f t="shared" si="17"/>
        <v>11538.461538461539</v>
      </c>
      <c r="O65" s="21">
        <f t="shared" si="18"/>
        <v>12500</v>
      </c>
      <c r="P65" s="21">
        <f t="shared" si="19"/>
        <v>12000</v>
      </c>
      <c r="Q65" s="21">
        <f t="shared" si="20"/>
        <v>12500</v>
      </c>
      <c r="R65" s="20">
        <f t="shared" si="21"/>
        <v>144192.30769230769</v>
      </c>
      <c r="T65" s="20">
        <f t="shared" si="22"/>
        <v>55</v>
      </c>
      <c r="U65" s="21">
        <f t="shared" si="23"/>
        <v>7930576.923076923</v>
      </c>
    </row>
    <row r="66" spans="1:21" x14ac:dyDescent="0.3">
      <c r="A66" s="37"/>
      <c r="C66" s="18">
        <v>1003</v>
      </c>
      <c r="D66" s="18" t="s">
        <v>3</v>
      </c>
      <c r="E66" s="18" t="s">
        <v>18</v>
      </c>
      <c r="F66" s="21">
        <f t="shared" si="9"/>
        <v>8000</v>
      </c>
      <c r="G66" s="21">
        <f t="shared" si="10"/>
        <v>7384.6153846153848</v>
      </c>
      <c r="H66" s="21">
        <f t="shared" si="11"/>
        <v>8000</v>
      </c>
      <c r="I66" s="21">
        <f t="shared" si="12"/>
        <v>7384.6153846153848</v>
      </c>
      <c r="J66" s="21">
        <f t="shared" si="13"/>
        <v>7680</v>
      </c>
      <c r="K66" s="21">
        <f t="shared" si="14"/>
        <v>7384.6153846153848</v>
      </c>
      <c r="L66" s="21">
        <f t="shared" si="15"/>
        <v>8000</v>
      </c>
      <c r="M66" s="21">
        <f t="shared" si="16"/>
        <v>7384.6153846153848</v>
      </c>
      <c r="N66" s="21">
        <f t="shared" si="17"/>
        <v>7384.6153846153848</v>
      </c>
      <c r="O66" s="21">
        <f t="shared" si="18"/>
        <v>8000</v>
      </c>
      <c r="P66" s="21">
        <f t="shared" si="19"/>
        <v>7680</v>
      </c>
      <c r="Q66" s="21">
        <f t="shared" si="20"/>
        <v>8000</v>
      </c>
      <c r="R66" s="20">
        <f t="shared" si="21"/>
        <v>92283.076923076922</v>
      </c>
      <c r="T66" s="20">
        <f t="shared" si="22"/>
        <v>20</v>
      </c>
      <c r="U66" s="21">
        <f t="shared" si="23"/>
        <v>1845661.5384615385</v>
      </c>
    </row>
    <row r="67" spans="1:21" x14ac:dyDescent="0.3">
      <c r="A67" s="37"/>
      <c r="C67" s="18">
        <v>1004</v>
      </c>
      <c r="D67" s="18" t="s">
        <v>4</v>
      </c>
      <c r="E67" s="18" t="s">
        <v>18</v>
      </c>
      <c r="F67" s="21">
        <f t="shared" si="9"/>
        <v>50000</v>
      </c>
      <c r="G67" s="21">
        <f t="shared" si="10"/>
        <v>46153.846153846156</v>
      </c>
      <c r="H67" s="21">
        <f t="shared" si="11"/>
        <v>50000</v>
      </c>
      <c r="I67" s="21">
        <f t="shared" si="12"/>
        <v>46153.846153846156</v>
      </c>
      <c r="J67" s="21">
        <f t="shared" si="13"/>
        <v>48000</v>
      </c>
      <c r="K67" s="21">
        <f t="shared" si="14"/>
        <v>46153.846153846156</v>
      </c>
      <c r="L67" s="21">
        <f t="shared" si="15"/>
        <v>50000</v>
      </c>
      <c r="M67" s="21">
        <f t="shared" si="16"/>
        <v>46153.846153846156</v>
      </c>
      <c r="N67" s="21">
        <f t="shared" si="17"/>
        <v>46153.846153846156</v>
      </c>
      <c r="O67" s="21">
        <f t="shared" si="18"/>
        <v>50000</v>
      </c>
      <c r="P67" s="21">
        <f t="shared" si="19"/>
        <v>48000</v>
      </c>
      <c r="Q67" s="21">
        <f t="shared" si="20"/>
        <v>50000</v>
      </c>
      <c r="R67" s="20">
        <f t="shared" si="21"/>
        <v>576769.23076923075</v>
      </c>
      <c r="T67" s="20">
        <f t="shared" si="22"/>
        <v>34</v>
      </c>
      <c r="U67" s="21">
        <f t="shared" si="23"/>
        <v>19610153.846153844</v>
      </c>
    </row>
    <row r="68" spans="1:21" x14ac:dyDescent="0.3">
      <c r="A68" s="37"/>
      <c r="C68" s="18">
        <v>1005</v>
      </c>
      <c r="D68" s="18" t="s">
        <v>5</v>
      </c>
      <c r="E68" s="18" t="s">
        <v>18</v>
      </c>
      <c r="F68" s="21">
        <f t="shared" si="9"/>
        <v>16750</v>
      </c>
      <c r="G68" s="21">
        <f t="shared" si="10"/>
        <v>15461.538461538463</v>
      </c>
      <c r="H68" s="21">
        <f t="shared" si="11"/>
        <v>16750</v>
      </c>
      <c r="I68" s="21">
        <f t="shared" si="12"/>
        <v>15461.538461538463</v>
      </c>
      <c r="J68" s="21">
        <f t="shared" si="13"/>
        <v>16080.000000000002</v>
      </c>
      <c r="K68" s="21">
        <f t="shared" si="14"/>
        <v>15461.538461538463</v>
      </c>
      <c r="L68" s="21">
        <f t="shared" si="15"/>
        <v>16750</v>
      </c>
      <c r="M68" s="21">
        <f t="shared" si="16"/>
        <v>15461.538461538463</v>
      </c>
      <c r="N68" s="21">
        <f t="shared" si="17"/>
        <v>15461.538461538463</v>
      </c>
      <c r="O68" s="21">
        <f t="shared" si="18"/>
        <v>16750</v>
      </c>
      <c r="P68" s="21">
        <f t="shared" si="19"/>
        <v>16080.000000000002</v>
      </c>
      <c r="Q68" s="21">
        <f t="shared" si="20"/>
        <v>16750</v>
      </c>
      <c r="R68" s="20">
        <f t="shared" si="21"/>
        <v>193217.69230769231</v>
      </c>
      <c r="T68" s="20">
        <f t="shared" si="22"/>
        <v>15</v>
      </c>
      <c r="U68" s="21">
        <f t="shared" si="23"/>
        <v>2898265.3846153845</v>
      </c>
    </row>
    <row r="69" spans="1:21" x14ac:dyDescent="0.3">
      <c r="A69" s="37"/>
      <c r="C69" s="18">
        <v>1006</v>
      </c>
      <c r="D69" s="18" t="s">
        <v>6</v>
      </c>
      <c r="E69" s="18" t="s">
        <v>18</v>
      </c>
      <c r="F69" s="21">
        <f t="shared" si="9"/>
        <v>5000</v>
      </c>
      <c r="G69" s="21">
        <f t="shared" si="10"/>
        <v>4615.3846153846162</v>
      </c>
      <c r="H69" s="21">
        <f t="shared" si="11"/>
        <v>5000</v>
      </c>
      <c r="I69" s="21">
        <f t="shared" si="12"/>
        <v>4615.3846153846162</v>
      </c>
      <c r="J69" s="21">
        <f t="shared" si="13"/>
        <v>4800</v>
      </c>
      <c r="K69" s="21">
        <f t="shared" si="14"/>
        <v>4615.3846153846162</v>
      </c>
      <c r="L69" s="21">
        <f t="shared" si="15"/>
        <v>5000</v>
      </c>
      <c r="M69" s="21">
        <f t="shared" si="16"/>
        <v>4615.3846153846162</v>
      </c>
      <c r="N69" s="21">
        <f t="shared" si="17"/>
        <v>4615.3846153846162</v>
      </c>
      <c r="O69" s="21">
        <f t="shared" si="18"/>
        <v>5000</v>
      </c>
      <c r="P69" s="21">
        <f t="shared" si="19"/>
        <v>4800</v>
      </c>
      <c r="Q69" s="21">
        <f t="shared" si="20"/>
        <v>5000</v>
      </c>
      <c r="R69" s="20">
        <f t="shared" si="21"/>
        <v>57676.923076923085</v>
      </c>
      <c r="T69" s="20">
        <f t="shared" si="22"/>
        <v>67</v>
      </c>
      <c r="U69" s="21">
        <f t="shared" si="23"/>
        <v>3864353.8461538469</v>
      </c>
    </row>
    <row r="70" spans="1:21" x14ac:dyDescent="0.3">
      <c r="A70" s="37"/>
      <c r="C70" s="18">
        <v>1007</v>
      </c>
      <c r="D70" s="18" t="s">
        <v>7</v>
      </c>
      <c r="E70" s="18" t="s">
        <v>18</v>
      </c>
      <c r="F70" s="21">
        <f t="shared" si="9"/>
        <v>2500</v>
      </c>
      <c r="G70" s="21">
        <f t="shared" si="10"/>
        <v>2307.6923076923081</v>
      </c>
      <c r="H70" s="21">
        <f t="shared" si="11"/>
        <v>2500</v>
      </c>
      <c r="I70" s="21">
        <f t="shared" si="12"/>
        <v>2307.6923076923081</v>
      </c>
      <c r="J70" s="21">
        <f t="shared" si="13"/>
        <v>2400</v>
      </c>
      <c r="K70" s="21">
        <f t="shared" si="14"/>
        <v>2307.6923076923081</v>
      </c>
      <c r="L70" s="21">
        <f t="shared" si="15"/>
        <v>2500</v>
      </c>
      <c r="M70" s="21">
        <f t="shared" si="16"/>
        <v>2307.6923076923081</v>
      </c>
      <c r="N70" s="21">
        <f t="shared" si="17"/>
        <v>2307.6923076923081</v>
      </c>
      <c r="O70" s="21">
        <f t="shared" si="18"/>
        <v>2500</v>
      </c>
      <c r="P70" s="21">
        <f t="shared" si="19"/>
        <v>2400</v>
      </c>
      <c r="Q70" s="21">
        <f t="shared" si="20"/>
        <v>2500</v>
      </c>
      <c r="R70" s="20">
        <f t="shared" si="21"/>
        <v>28838.461538461543</v>
      </c>
      <c r="T70" s="20">
        <f t="shared" si="22"/>
        <v>22</v>
      </c>
      <c r="U70" s="21">
        <f t="shared" si="23"/>
        <v>634446.15384615399</v>
      </c>
    </row>
    <row r="71" spans="1:21" x14ac:dyDescent="0.3">
      <c r="A71" s="37"/>
      <c r="C71" s="18">
        <v>1008</v>
      </c>
      <c r="D71" s="18" t="s">
        <v>8</v>
      </c>
      <c r="E71" s="18" t="s">
        <v>18</v>
      </c>
      <c r="F71" s="21">
        <f t="shared" si="9"/>
        <v>20000</v>
      </c>
      <c r="G71" s="21">
        <f t="shared" si="10"/>
        <v>18461.538461538465</v>
      </c>
      <c r="H71" s="21">
        <f t="shared" si="11"/>
        <v>20000</v>
      </c>
      <c r="I71" s="21">
        <f t="shared" si="12"/>
        <v>18461.538461538465</v>
      </c>
      <c r="J71" s="21">
        <f t="shared" si="13"/>
        <v>19200</v>
      </c>
      <c r="K71" s="21">
        <f t="shared" si="14"/>
        <v>18461.538461538465</v>
      </c>
      <c r="L71" s="21">
        <f t="shared" si="15"/>
        <v>20000</v>
      </c>
      <c r="M71" s="21">
        <f t="shared" si="16"/>
        <v>18461.538461538465</v>
      </c>
      <c r="N71" s="21">
        <f t="shared" si="17"/>
        <v>18461.538461538465</v>
      </c>
      <c r="O71" s="21">
        <f t="shared" si="18"/>
        <v>20000</v>
      </c>
      <c r="P71" s="21">
        <f t="shared" si="19"/>
        <v>19200</v>
      </c>
      <c r="Q71" s="21">
        <f t="shared" si="20"/>
        <v>20000</v>
      </c>
      <c r="R71" s="20">
        <f t="shared" si="21"/>
        <v>230707.69230769234</v>
      </c>
      <c r="T71" s="20">
        <f t="shared" si="22"/>
        <v>35</v>
      </c>
      <c r="U71" s="21">
        <f t="shared" si="23"/>
        <v>8074769.2307692319</v>
      </c>
    </row>
    <row r="72" spans="1:21" x14ac:dyDescent="0.3">
      <c r="A72" s="37"/>
      <c r="C72" s="18">
        <v>1009</v>
      </c>
      <c r="D72" s="18" t="s">
        <v>9</v>
      </c>
      <c r="E72" s="18" t="s">
        <v>19</v>
      </c>
      <c r="F72" s="21">
        <f t="shared" si="9"/>
        <v>25000</v>
      </c>
      <c r="G72" s="21">
        <f t="shared" si="10"/>
        <v>23076.923076923078</v>
      </c>
      <c r="H72" s="21">
        <f t="shared" si="11"/>
        <v>25000</v>
      </c>
      <c r="I72" s="21">
        <f t="shared" si="12"/>
        <v>23076.923076923078</v>
      </c>
      <c r="J72" s="21">
        <f t="shared" si="13"/>
        <v>24000</v>
      </c>
      <c r="K72" s="21">
        <f t="shared" si="14"/>
        <v>23076.923076923078</v>
      </c>
      <c r="L72" s="21">
        <f t="shared" si="15"/>
        <v>25000</v>
      </c>
      <c r="M72" s="21">
        <f t="shared" si="16"/>
        <v>23076.923076923078</v>
      </c>
      <c r="N72" s="21">
        <f t="shared" si="17"/>
        <v>23076.923076923078</v>
      </c>
      <c r="O72" s="21">
        <f t="shared" si="18"/>
        <v>25000</v>
      </c>
      <c r="P72" s="21">
        <f t="shared" si="19"/>
        <v>24000</v>
      </c>
      <c r="Q72" s="21">
        <f t="shared" si="20"/>
        <v>25000</v>
      </c>
      <c r="R72" s="20">
        <f t="shared" si="21"/>
        <v>288384.61538461538</v>
      </c>
      <c r="T72" s="20">
        <f t="shared" si="22"/>
        <v>15</v>
      </c>
      <c r="U72" s="21">
        <f t="shared" si="23"/>
        <v>4325769.230769231</v>
      </c>
    </row>
    <row r="73" spans="1:21" x14ac:dyDescent="0.3">
      <c r="A73" s="37"/>
      <c r="C73" s="18">
        <v>1010</v>
      </c>
      <c r="D73" s="18" t="s">
        <v>10</v>
      </c>
      <c r="E73" s="18" t="s">
        <v>19</v>
      </c>
      <c r="F73" s="21">
        <f t="shared" si="9"/>
        <v>25000</v>
      </c>
      <c r="G73" s="21">
        <f t="shared" si="10"/>
        <v>23076.923076923078</v>
      </c>
      <c r="H73" s="21">
        <f t="shared" si="11"/>
        <v>25000</v>
      </c>
      <c r="I73" s="21">
        <f t="shared" si="12"/>
        <v>23076.923076923078</v>
      </c>
      <c r="J73" s="21">
        <f t="shared" si="13"/>
        <v>24000</v>
      </c>
      <c r="K73" s="21">
        <f t="shared" si="14"/>
        <v>23076.923076923078</v>
      </c>
      <c r="L73" s="21">
        <f t="shared" si="15"/>
        <v>25000</v>
      </c>
      <c r="M73" s="21">
        <f t="shared" si="16"/>
        <v>23076.923076923078</v>
      </c>
      <c r="N73" s="21">
        <f t="shared" si="17"/>
        <v>23076.923076923078</v>
      </c>
      <c r="O73" s="21">
        <f t="shared" si="18"/>
        <v>25000</v>
      </c>
      <c r="P73" s="21">
        <f t="shared" si="19"/>
        <v>24000</v>
      </c>
      <c r="Q73" s="21">
        <f t="shared" si="20"/>
        <v>25000</v>
      </c>
      <c r="R73" s="20">
        <f t="shared" si="21"/>
        <v>288384.61538461538</v>
      </c>
      <c r="T73" s="20">
        <f t="shared" si="22"/>
        <v>10</v>
      </c>
      <c r="U73" s="21">
        <f t="shared" si="23"/>
        <v>2883846.153846154</v>
      </c>
    </row>
    <row r="74" spans="1:21" x14ac:dyDescent="0.3">
      <c r="A74" s="37"/>
      <c r="C74" s="25" t="s">
        <v>20</v>
      </c>
      <c r="D74" s="18" t="s">
        <v>23</v>
      </c>
      <c r="E74" s="18" t="s">
        <v>26</v>
      </c>
      <c r="F74" s="21">
        <f t="shared" si="9"/>
        <v>125000</v>
      </c>
      <c r="G74" s="21">
        <f t="shared" si="10"/>
        <v>115384.61538461539</v>
      </c>
      <c r="H74" s="21">
        <f t="shared" si="11"/>
        <v>125000</v>
      </c>
      <c r="I74" s="21">
        <f t="shared" si="12"/>
        <v>115384.61538461539</v>
      </c>
      <c r="J74" s="21">
        <f t="shared" si="13"/>
        <v>120000</v>
      </c>
      <c r="K74" s="21">
        <f t="shared" si="14"/>
        <v>115384.61538461539</v>
      </c>
      <c r="L74" s="21">
        <f t="shared" si="15"/>
        <v>125000</v>
      </c>
      <c r="M74" s="21">
        <f t="shared" si="16"/>
        <v>115384.61538461539</v>
      </c>
      <c r="N74" s="21">
        <f t="shared" si="17"/>
        <v>115384.61538461539</v>
      </c>
      <c r="O74" s="21">
        <f t="shared" si="18"/>
        <v>125000</v>
      </c>
      <c r="P74" s="21">
        <f t="shared" si="19"/>
        <v>120000</v>
      </c>
      <c r="Q74" s="21">
        <f t="shared" si="20"/>
        <v>125000</v>
      </c>
      <c r="R74" s="20">
        <f t="shared" si="21"/>
        <v>1441923.076923077</v>
      </c>
      <c r="T74" s="20"/>
      <c r="U74" s="21"/>
    </row>
    <row r="75" spans="1:21" x14ac:dyDescent="0.3">
      <c r="A75" s="37"/>
      <c r="C75" s="25" t="s">
        <v>21</v>
      </c>
      <c r="D75" s="18" t="s">
        <v>24</v>
      </c>
      <c r="E75" s="18" t="s">
        <v>26</v>
      </c>
      <c r="F75" s="21">
        <f t="shared" si="9"/>
        <v>175000</v>
      </c>
      <c r="G75" s="21">
        <f t="shared" si="10"/>
        <v>161538.46153846156</v>
      </c>
      <c r="H75" s="21">
        <f t="shared" si="11"/>
        <v>175000</v>
      </c>
      <c r="I75" s="21">
        <f t="shared" si="12"/>
        <v>161538.46153846156</v>
      </c>
      <c r="J75" s="21">
        <f t="shared" si="13"/>
        <v>168000</v>
      </c>
      <c r="K75" s="21">
        <f t="shared" si="14"/>
        <v>161538.46153846156</v>
      </c>
      <c r="L75" s="21">
        <f t="shared" si="15"/>
        <v>175000</v>
      </c>
      <c r="M75" s="21">
        <f t="shared" si="16"/>
        <v>161538.46153846156</v>
      </c>
      <c r="N75" s="21">
        <f t="shared" si="17"/>
        <v>161538.46153846156</v>
      </c>
      <c r="O75" s="21">
        <f t="shared" si="18"/>
        <v>175000</v>
      </c>
      <c r="P75" s="21">
        <f t="shared" si="19"/>
        <v>168000</v>
      </c>
      <c r="Q75" s="21">
        <f t="shared" si="20"/>
        <v>175000</v>
      </c>
      <c r="R75" s="20">
        <f t="shared" si="21"/>
        <v>2018692.3076923077</v>
      </c>
      <c r="T75" s="20"/>
      <c r="U75" s="21"/>
    </row>
    <row r="76" spans="1:21" x14ac:dyDescent="0.3">
      <c r="A76" s="37"/>
      <c r="C76" s="25" t="s">
        <v>22</v>
      </c>
      <c r="D76" s="18" t="s">
        <v>25</v>
      </c>
      <c r="E76" s="18" t="s">
        <v>26</v>
      </c>
      <c r="F76" s="21">
        <f t="shared" si="9"/>
        <v>100000</v>
      </c>
      <c r="G76" s="21">
        <f t="shared" si="10"/>
        <v>92307.692307692312</v>
      </c>
      <c r="H76" s="21">
        <f t="shared" si="11"/>
        <v>100000</v>
      </c>
      <c r="I76" s="21">
        <f t="shared" si="12"/>
        <v>92307.692307692312</v>
      </c>
      <c r="J76" s="21">
        <f t="shared" si="13"/>
        <v>96000</v>
      </c>
      <c r="K76" s="21">
        <f t="shared" si="14"/>
        <v>92307.692307692312</v>
      </c>
      <c r="L76" s="21">
        <f t="shared" si="15"/>
        <v>100000</v>
      </c>
      <c r="M76" s="21">
        <f t="shared" si="16"/>
        <v>92307.692307692312</v>
      </c>
      <c r="N76" s="21">
        <f t="shared" si="17"/>
        <v>92307.692307692312</v>
      </c>
      <c r="O76" s="21">
        <f t="shared" si="18"/>
        <v>100000</v>
      </c>
      <c r="P76" s="21">
        <f t="shared" si="19"/>
        <v>96000</v>
      </c>
      <c r="Q76" s="21">
        <f t="shared" si="20"/>
        <v>100000</v>
      </c>
      <c r="R76" s="20">
        <f t="shared" si="21"/>
        <v>1153538.4615384615</v>
      </c>
      <c r="T76" s="20"/>
      <c r="U76" s="21"/>
    </row>
    <row r="77" spans="1:21" x14ac:dyDescent="0.3">
      <c r="A77" s="37"/>
    </row>
    <row r="78" spans="1:21" x14ac:dyDescent="0.3">
      <c r="A78" s="37"/>
      <c r="B78" s="18">
        <v>9002</v>
      </c>
      <c r="C78" s="18" t="s">
        <v>166</v>
      </c>
      <c r="F78" s="23"/>
    </row>
    <row r="79" spans="1:21" x14ac:dyDescent="0.3">
      <c r="A79" s="37"/>
      <c r="C79" s="18">
        <v>1001</v>
      </c>
      <c r="D79" s="18" t="s">
        <v>1</v>
      </c>
      <c r="E79" s="18" t="s">
        <v>18</v>
      </c>
      <c r="F79" s="21">
        <f t="shared" ref="F79:F91" si="24">F19*$F$57</f>
        <v>25200</v>
      </c>
      <c r="G79" s="21">
        <f t="shared" ref="G79:G91" si="25">F19*$G$57</f>
        <v>23261.538461538461</v>
      </c>
      <c r="H79" s="21">
        <f t="shared" ref="H79:H91" si="26">F19*$H$57</f>
        <v>25200</v>
      </c>
      <c r="I79" s="21">
        <f t="shared" ref="I79:I91" si="27">F19*$I$57</f>
        <v>23261.538461538461</v>
      </c>
      <c r="J79" s="21">
        <f t="shared" ref="J79:J91" si="28">F19*$J$57</f>
        <v>24192</v>
      </c>
      <c r="K79" s="21">
        <f t="shared" ref="K79:K91" si="29">F19*$K$57</f>
        <v>23261.538461538461</v>
      </c>
      <c r="L79" s="21">
        <f t="shared" ref="L79:L91" si="30">F19*$L$57</f>
        <v>25200</v>
      </c>
      <c r="M79" s="21">
        <f t="shared" ref="M79:M91" si="31">F19*$M$57</f>
        <v>23261.538461538461</v>
      </c>
      <c r="N79" s="21">
        <f t="shared" ref="N79:N91" si="32">F19*$N$57</f>
        <v>23261.538461538461</v>
      </c>
      <c r="O79" s="21">
        <f t="shared" ref="O79:O91" si="33">F19*$O$57</f>
        <v>25200</v>
      </c>
      <c r="P79" s="21">
        <f t="shared" ref="P79:P91" si="34">F19*$P$57</f>
        <v>24192</v>
      </c>
      <c r="Q79" s="21">
        <f t="shared" ref="Q79:Q91" si="35">F19*$Q$57</f>
        <v>25200</v>
      </c>
      <c r="R79" s="20">
        <f t="shared" ref="R79:R91" si="36">SUM(F79:Q79)</f>
        <v>290691.69230769237</v>
      </c>
      <c r="T79" s="20">
        <f t="shared" ref="T79:T88" si="37">G19</f>
        <v>100</v>
      </c>
      <c r="U79" s="21">
        <f t="shared" ref="U79:U88" si="38">R79*T79</f>
        <v>29069169.230769236</v>
      </c>
    </row>
    <row r="80" spans="1:21" x14ac:dyDescent="0.3">
      <c r="A80" s="37"/>
      <c r="C80" s="18">
        <v>1002</v>
      </c>
      <c r="D80" s="18" t="s">
        <v>2</v>
      </c>
      <c r="E80" s="18" t="s">
        <v>18</v>
      </c>
      <c r="F80" s="21">
        <f t="shared" si="24"/>
        <v>12600</v>
      </c>
      <c r="G80" s="21">
        <f t="shared" si="25"/>
        <v>11630.76923076923</v>
      </c>
      <c r="H80" s="21">
        <f t="shared" si="26"/>
        <v>12600</v>
      </c>
      <c r="I80" s="21">
        <f t="shared" si="27"/>
        <v>11630.76923076923</v>
      </c>
      <c r="J80" s="21">
        <f t="shared" si="28"/>
        <v>12096</v>
      </c>
      <c r="K80" s="21">
        <f t="shared" si="29"/>
        <v>11630.76923076923</v>
      </c>
      <c r="L80" s="21">
        <f t="shared" si="30"/>
        <v>12600</v>
      </c>
      <c r="M80" s="21">
        <f t="shared" si="31"/>
        <v>11630.76923076923</v>
      </c>
      <c r="N80" s="21">
        <f t="shared" si="32"/>
        <v>11630.76923076923</v>
      </c>
      <c r="O80" s="21">
        <f t="shared" si="33"/>
        <v>12600</v>
      </c>
      <c r="P80" s="21">
        <f t="shared" si="34"/>
        <v>12096</v>
      </c>
      <c r="Q80" s="21">
        <f t="shared" si="35"/>
        <v>12600</v>
      </c>
      <c r="R80" s="20">
        <f t="shared" si="36"/>
        <v>145345.84615384619</v>
      </c>
      <c r="T80" s="20">
        <f t="shared" si="37"/>
        <v>55</v>
      </c>
      <c r="U80" s="21">
        <f t="shared" si="38"/>
        <v>7994021.5384615399</v>
      </c>
    </row>
    <row r="81" spans="1:21" x14ac:dyDescent="0.3">
      <c r="A81" s="37"/>
      <c r="C81" s="18">
        <v>1003</v>
      </c>
      <c r="D81" s="18" t="s">
        <v>3</v>
      </c>
      <c r="E81" s="18" t="s">
        <v>18</v>
      </c>
      <c r="F81" s="21">
        <f t="shared" si="24"/>
        <v>8063.9999999999991</v>
      </c>
      <c r="G81" s="21">
        <f t="shared" si="25"/>
        <v>7443.6923076923067</v>
      </c>
      <c r="H81" s="21">
        <f t="shared" si="26"/>
        <v>8063.9999999999991</v>
      </c>
      <c r="I81" s="21">
        <f t="shared" si="27"/>
        <v>7443.6923076923067</v>
      </c>
      <c r="J81" s="21">
        <f t="shared" si="28"/>
        <v>7741.44</v>
      </c>
      <c r="K81" s="21">
        <f t="shared" si="29"/>
        <v>7443.6923076923067</v>
      </c>
      <c r="L81" s="21">
        <f t="shared" si="30"/>
        <v>8063.9999999999991</v>
      </c>
      <c r="M81" s="21">
        <f t="shared" si="31"/>
        <v>7443.6923076923067</v>
      </c>
      <c r="N81" s="21">
        <f t="shared" si="32"/>
        <v>7443.6923076923067</v>
      </c>
      <c r="O81" s="21">
        <f t="shared" si="33"/>
        <v>8063.9999999999991</v>
      </c>
      <c r="P81" s="21">
        <f t="shared" si="34"/>
        <v>7741.44</v>
      </c>
      <c r="Q81" s="21">
        <f t="shared" si="35"/>
        <v>8063.9999999999991</v>
      </c>
      <c r="R81" s="20">
        <f t="shared" si="36"/>
        <v>93021.341538461536</v>
      </c>
      <c r="T81" s="20">
        <f t="shared" si="37"/>
        <v>20</v>
      </c>
      <c r="U81" s="21">
        <f t="shared" si="38"/>
        <v>1860426.8307692306</v>
      </c>
    </row>
    <row r="82" spans="1:21" x14ac:dyDescent="0.3">
      <c r="A82" s="37"/>
      <c r="C82" s="18">
        <v>1004</v>
      </c>
      <c r="D82" s="18" t="s">
        <v>4</v>
      </c>
      <c r="E82" s="18" t="s">
        <v>18</v>
      </c>
      <c r="F82" s="21">
        <f t="shared" si="24"/>
        <v>50400</v>
      </c>
      <c r="G82" s="21">
        <f t="shared" si="25"/>
        <v>46523.076923076922</v>
      </c>
      <c r="H82" s="21">
        <f t="shared" si="26"/>
        <v>50400</v>
      </c>
      <c r="I82" s="21">
        <f t="shared" si="27"/>
        <v>46523.076923076922</v>
      </c>
      <c r="J82" s="21">
        <f t="shared" si="28"/>
        <v>48384</v>
      </c>
      <c r="K82" s="21">
        <f t="shared" si="29"/>
        <v>46523.076923076922</v>
      </c>
      <c r="L82" s="21">
        <f t="shared" si="30"/>
        <v>50400</v>
      </c>
      <c r="M82" s="21">
        <f t="shared" si="31"/>
        <v>46523.076923076922</v>
      </c>
      <c r="N82" s="21">
        <f t="shared" si="32"/>
        <v>46523.076923076922</v>
      </c>
      <c r="O82" s="21">
        <f t="shared" si="33"/>
        <v>50400</v>
      </c>
      <c r="P82" s="21">
        <f t="shared" si="34"/>
        <v>48384</v>
      </c>
      <c r="Q82" s="21">
        <f t="shared" si="35"/>
        <v>50400</v>
      </c>
      <c r="R82" s="20">
        <f t="shared" si="36"/>
        <v>581383.38461538474</v>
      </c>
      <c r="T82" s="20">
        <f t="shared" si="37"/>
        <v>34</v>
      </c>
      <c r="U82" s="21">
        <f t="shared" si="38"/>
        <v>19767035.07692308</v>
      </c>
    </row>
    <row r="83" spans="1:21" x14ac:dyDescent="0.3">
      <c r="A83" s="37"/>
      <c r="C83" s="18">
        <v>1005</v>
      </c>
      <c r="D83" s="18" t="s">
        <v>5</v>
      </c>
      <c r="E83" s="18" t="s">
        <v>18</v>
      </c>
      <c r="F83" s="21">
        <f t="shared" si="24"/>
        <v>16884</v>
      </c>
      <c r="G83" s="21">
        <f t="shared" si="25"/>
        <v>15585.230769230768</v>
      </c>
      <c r="H83" s="21">
        <f t="shared" si="26"/>
        <v>16884</v>
      </c>
      <c r="I83" s="21">
        <f t="shared" si="27"/>
        <v>15585.230769230768</v>
      </c>
      <c r="J83" s="21">
        <f t="shared" si="28"/>
        <v>16208.64</v>
      </c>
      <c r="K83" s="21">
        <f t="shared" si="29"/>
        <v>15585.230769230768</v>
      </c>
      <c r="L83" s="21">
        <f t="shared" si="30"/>
        <v>16884</v>
      </c>
      <c r="M83" s="21">
        <f t="shared" si="31"/>
        <v>15585.230769230768</v>
      </c>
      <c r="N83" s="21">
        <f t="shared" si="32"/>
        <v>15585.230769230768</v>
      </c>
      <c r="O83" s="21">
        <f t="shared" si="33"/>
        <v>16884</v>
      </c>
      <c r="P83" s="21">
        <f t="shared" si="34"/>
        <v>16208.64</v>
      </c>
      <c r="Q83" s="21">
        <f t="shared" si="35"/>
        <v>16884</v>
      </c>
      <c r="R83" s="20">
        <f t="shared" si="36"/>
        <v>194763.43384615384</v>
      </c>
      <c r="T83" s="20">
        <f t="shared" si="37"/>
        <v>15</v>
      </c>
      <c r="U83" s="21">
        <f t="shared" si="38"/>
        <v>2921451.5076923077</v>
      </c>
    </row>
    <row r="84" spans="1:21" x14ac:dyDescent="0.3">
      <c r="A84" s="37"/>
      <c r="C84" s="18">
        <v>1006</v>
      </c>
      <c r="D84" s="18" t="s">
        <v>6</v>
      </c>
      <c r="E84" s="18" t="s">
        <v>18</v>
      </c>
      <c r="F84" s="21">
        <f t="shared" si="24"/>
        <v>5040</v>
      </c>
      <c r="G84" s="21">
        <f t="shared" si="25"/>
        <v>4652.3076923076924</v>
      </c>
      <c r="H84" s="21">
        <f t="shared" si="26"/>
        <v>5040</v>
      </c>
      <c r="I84" s="21">
        <f t="shared" si="27"/>
        <v>4652.3076923076924</v>
      </c>
      <c r="J84" s="21">
        <f t="shared" si="28"/>
        <v>4838.4000000000005</v>
      </c>
      <c r="K84" s="21">
        <f t="shared" si="29"/>
        <v>4652.3076923076924</v>
      </c>
      <c r="L84" s="21">
        <f t="shared" si="30"/>
        <v>5040</v>
      </c>
      <c r="M84" s="21">
        <f t="shared" si="31"/>
        <v>4652.3076923076924</v>
      </c>
      <c r="N84" s="21">
        <f t="shared" si="32"/>
        <v>4652.3076923076924</v>
      </c>
      <c r="O84" s="21">
        <f t="shared" si="33"/>
        <v>5040</v>
      </c>
      <c r="P84" s="21">
        <f t="shared" si="34"/>
        <v>4838.4000000000005</v>
      </c>
      <c r="Q84" s="21">
        <f t="shared" si="35"/>
        <v>5040</v>
      </c>
      <c r="R84" s="20">
        <f t="shared" si="36"/>
        <v>58138.338461538464</v>
      </c>
      <c r="T84" s="20">
        <f t="shared" si="37"/>
        <v>67</v>
      </c>
      <c r="U84" s="21">
        <f t="shared" si="38"/>
        <v>3895268.6769230771</v>
      </c>
    </row>
    <row r="85" spans="1:21" x14ac:dyDescent="0.3">
      <c r="A85" s="37"/>
      <c r="C85" s="18">
        <v>1007</v>
      </c>
      <c r="D85" s="18" t="s">
        <v>7</v>
      </c>
      <c r="E85" s="18" t="s">
        <v>18</v>
      </c>
      <c r="F85" s="21">
        <f t="shared" si="24"/>
        <v>2520</v>
      </c>
      <c r="G85" s="21">
        <f t="shared" si="25"/>
        <v>2326.1538461538462</v>
      </c>
      <c r="H85" s="21">
        <f t="shared" si="26"/>
        <v>2520</v>
      </c>
      <c r="I85" s="21">
        <f t="shared" si="27"/>
        <v>2326.1538461538462</v>
      </c>
      <c r="J85" s="21">
        <f t="shared" si="28"/>
        <v>2419.2000000000003</v>
      </c>
      <c r="K85" s="21">
        <f t="shared" si="29"/>
        <v>2326.1538461538462</v>
      </c>
      <c r="L85" s="21">
        <f t="shared" si="30"/>
        <v>2520</v>
      </c>
      <c r="M85" s="21">
        <f t="shared" si="31"/>
        <v>2326.1538461538462</v>
      </c>
      <c r="N85" s="21">
        <f t="shared" si="32"/>
        <v>2326.1538461538462</v>
      </c>
      <c r="O85" s="21">
        <f t="shared" si="33"/>
        <v>2520</v>
      </c>
      <c r="P85" s="21">
        <f t="shared" si="34"/>
        <v>2419.2000000000003</v>
      </c>
      <c r="Q85" s="21">
        <f t="shared" si="35"/>
        <v>2520</v>
      </c>
      <c r="R85" s="20">
        <f t="shared" si="36"/>
        <v>29069.169230769232</v>
      </c>
      <c r="T85" s="20">
        <f t="shared" si="37"/>
        <v>22</v>
      </c>
      <c r="U85" s="21">
        <f t="shared" si="38"/>
        <v>639521.72307692305</v>
      </c>
    </row>
    <row r="86" spans="1:21" x14ac:dyDescent="0.3">
      <c r="A86" s="37"/>
      <c r="C86" s="18">
        <v>1008</v>
      </c>
      <c r="D86" s="18" t="s">
        <v>8</v>
      </c>
      <c r="E86" s="18" t="s">
        <v>18</v>
      </c>
      <c r="F86" s="21">
        <f t="shared" si="24"/>
        <v>20160</v>
      </c>
      <c r="G86" s="21">
        <f t="shared" si="25"/>
        <v>18609.23076923077</v>
      </c>
      <c r="H86" s="21">
        <f t="shared" si="26"/>
        <v>20160</v>
      </c>
      <c r="I86" s="21">
        <f t="shared" si="27"/>
        <v>18609.23076923077</v>
      </c>
      <c r="J86" s="21">
        <f t="shared" si="28"/>
        <v>19353.600000000002</v>
      </c>
      <c r="K86" s="21">
        <f t="shared" si="29"/>
        <v>18609.23076923077</v>
      </c>
      <c r="L86" s="21">
        <f t="shared" si="30"/>
        <v>20160</v>
      </c>
      <c r="M86" s="21">
        <f t="shared" si="31"/>
        <v>18609.23076923077</v>
      </c>
      <c r="N86" s="21">
        <f t="shared" si="32"/>
        <v>18609.23076923077</v>
      </c>
      <c r="O86" s="21">
        <f t="shared" si="33"/>
        <v>20160</v>
      </c>
      <c r="P86" s="21">
        <f t="shared" si="34"/>
        <v>19353.600000000002</v>
      </c>
      <c r="Q86" s="21">
        <f t="shared" si="35"/>
        <v>20160</v>
      </c>
      <c r="R86" s="20">
        <f t="shared" si="36"/>
        <v>232553.35384615386</v>
      </c>
      <c r="T86" s="20">
        <f t="shared" si="37"/>
        <v>35</v>
      </c>
      <c r="U86" s="21">
        <f t="shared" si="38"/>
        <v>8139367.384615385</v>
      </c>
    </row>
    <row r="87" spans="1:21" x14ac:dyDescent="0.3">
      <c r="A87" s="37"/>
      <c r="C87" s="18">
        <v>1009</v>
      </c>
      <c r="D87" s="18" t="s">
        <v>9</v>
      </c>
      <c r="E87" s="18" t="s">
        <v>19</v>
      </c>
      <c r="F87" s="21">
        <f t="shared" si="24"/>
        <v>30000</v>
      </c>
      <c r="G87" s="21">
        <f t="shared" si="25"/>
        <v>27692.307692307691</v>
      </c>
      <c r="H87" s="21">
        <f t="shared" si="26"/>
        <v>30000</v>
      </c>
      <c r="I87" s="21">
        <f t="shared" si="27"/>
        <v>27692.307692307691</v>
      </c>
      <c r="J87" s="21">
        <f t="shared" si="28"/>
        <v>28800</v>
      </c>
      <c r="K87" s="21">
        <f t="shared" si="29"/>
        <v>27692.307692307691</v>
      </c>
      <c r="L87" s="21">
        <f t="shared" si="30"/>
        <v>30000</v>
      </c>
      <c r="M87" s="21">
        <f t="shared" si="31"/>
        <v>27692.307692307691</v>
      </c>
      <c r="N87" s="21">
        <f t="shared" si="32"/>
        <v>27692.307692307691</v>
      </c>
      <c r="O87" s="21">
        <f t="shared" si="33"/>
        <v>30000</v>
      </c>
      <c r="P87" s="21">
        <f t="shared" si="34"/>
        <v>28800</v>
      </c>
      <c r="Q87" s="21">
        <f t="shared" si="35"/>
        <v>30000</v>
      </c>
      <c r="R87" s="20">
        <f t="shared" si="36"/>
        <v>346061.53846153844</v>
      </c>
      <c r="T87" s="20">
        <f t="shared" si="37"/>
        <v>15</v>
      </c>
      <c r="U87" s="21">
        <f t="shared" si="38"/>
        <v>5190923.076923077</v>
      </c>
    </row>
    <row r="88" spans="1:21" x14ac:dyDescent="0.3">
      <c r="A88" s="37"/>
      <c r="C88" s="18">
        <v>1010</v>
      </c>
      <c r="D88" s="18" t="s">
        <v>10</v>
      </c>
      <c r="E88" s="18" t="s">
        <v>19</v>
      </c>
      <c r="F88" s="21">
        <f t="shared" si="24"/>
        <v>30000</v>
      </c>
      <c r="G88" s="21">
        <f t="shared" si="25"/>
        <v>27692.307692307691</v>
      </c>
      <c r="H88" s="21">
        <f t="shared" si="26"/>
        <v>30000</v>
      </c>
      <c r="I88" s="21">
        <f t="shared" si="27"/>
        <v>27692.307692307691</v>
      </c>
      <c r="J88" s="21">
        <f t="shared" si="28"/>
        <v>28800</v>
      </c>
      <c r="K88" s="21">
        <f t="shared" si="29"/>
        <v>27692.307692307691</v>
      </c>
      <c r="L88" s="21">
        <f t="shared" si="30"/>
        <v>30000</v>
      </c>
      <c r="M88" s="21">
        <f t="shared" si="31"/>
        <v>27692.307692307691</v>
      </c>
      <c r="N88" s="21">
        <f t="shared" si="32"/>
        <v>27692.307692307691</v>
      </c>
      <c r="O88" s="21">
        <f t="shared" si="33"/>
        <v>30000</v>
      </c>
      <c r="P88" s="21">
        <f t="shared" si="34"/>
        <v>28800</v>
      </c>
      <c r="Q88" s="21">
        <f t="shared" si="35"/>
        <v>30000</v>
      </c>
      <c r="R88" s="20">
        <f t="shared" si="36"/>
        <v>346061.53846153844</v>
      </c>
      <c r="T88" s="20">
        <f t="shared" si="37"/>
        <v>10</v>
      </c>
      <c r="U88" s="21">
        <f t="shared" si="38"/>
        <v>3460615.3846153845</v>
      </c>
    </row>
    <row r="89" spans="1:21" x14ac:dyDescent="0.3">
      <c r="A89" s="37"/>
      <c r="C89" s="25" t="s">
        <v>20</v>
      </c>
      <c r="D89" s="18" t="s">
        <v>23</v>
      </c>
      <c r="E89" s="18" t="s">
        <v>26</v>
      </c>
      <c r="F89" s="21">
        <f t="shared" si="24"/>
        <v>165000</v>
      </c>
      <c r="G89" s="21">
        <f t="shared" si="25"/>
        <v>152307.69230769231</v>
      </c>
      <c r="H89" s="21">
        <f t="shared" si="26"/>
        <v>165000</v>
      </c>
      <c r="I89" s="21">
        <f t="shared" si="27"/>
        <v>152307.69230769231</v>
      </c>
      <c r="J89" s="21">
        <f t="shared" si="28"/>
        <v>158400</v>
      </c>
      <c r="K89" s="21">
        <f t="shared" si="29"/>
        <v>152307.69230769231</v>
      </c>
      <c r="L89" s="21">
        <f t="shared" si="30"/>
        <v>165000</v>
      </c>
      <c r="M89" s="21">
        <f t="shared" si="31"/>
        <v>152307.69230769231</v>
      </c>
      <c r="N89" s="21">
        <f t="shared" si="32"/>
        <v>152307.69230769231</v>
      </c>
      <c r="O89" s="21">
        <f t="shared" si="33"/>
        <v>165000</v>
      </c>
      <c r="P89" s="21">
        <f t="shared" si="34"/>
        <v>158400</v>
      </c>
      <c r="Q89" s="21">
        <f t="shared" si="35"/>
        <v>165000</v>
      </c>
      <c r="R89" s="20">
        <f t="shared" si="36"/>
        <v>1903338.4615384615</v>
      </c>
      <c r="T89" s="20"/>
      <c r="U89" s="21"/>
    </row>
    <row r="90" spans="1:21" x14ac:dyDescent="0.3">
      <c r="A90" s="37"/>
      <c r="C90" s="25" t="s">
        <v>21</v>
      </c>
      <c r="D90" s="18" t="s">
        <v>24</v>
      </c>
      <c r="E90" s="18" t="s">
        <v>26</v>
      </c>
      <c r="F90" s="21">
        <f t="shared" si="24"/>
        <v>231000.00000000003</v>
      </c>
      <c r="G90" s="21">
        <f t="shared" si="25"/>
        <v>213230.76923076925</v>
      </c>
      <c r="H90" s="21">
        <f t="shared" si="26"/>
        <v>231000.00000000003</v>
      </c>
      <c r="I90" s="21">
        <f t="shared" si="27"/>
        <v>213230.76923076925</v>
      </c>
      <c r="J90" s="21">
        <f t="shared" si="28"/>
        <v>221760.00000000003</v>
      </c>
      <c r="K90" s="21">
        <f t="shared" si="29"/>
        <v>213230.76923076925</v>
      </c>
      <c r="L90" s="21">
        <f t="shared" si="30"/>
        <v>231000.00000000003</v>
      </c>
      <c r="M90" s="21">
        <f t="shared" si="31"/>
        <v>213230.76923076925</v>
      </c>
      <c r="N90" s="21">
        <f t="shared" si="32"/>
        <v>213230.76923076925</v>
      </c>
      <c r="O90" s="21">
        <f t="shared" si="33"/>
        <v>231000.00000000003</v>
      </c>
      <c r="P90" s="21">
        <f t="shared" si="34"/>
        <v>221760.00000000003</v>
      </c>
      <c r="Q90" s="21">
        <f t="shared" si="35"/>
        <v>231000.00000000003</v>
      </c>
      <c r="R90" s="20">
        <f t="shared" si="36"/>
        <v>2664673.8461538465</v>
      </c>
      <c r="T90" s="20"/>
      <c r="U90" s="21"/>
    </row>
    <row r="91" spans="1:21" x14ac:dyDescent="0.3">
      <c r="A91" s="37"/>
      <c r="C91" s="25" t="s">
        <v>22</v>
      </c>
      <c r="D91" s="18" t="s">
        <v>25</v>
      </c>
      <c r="E91" s="18" t="s">
        <v>26</v>
      </c>
      <c r="F91" s="21">
        <f t="shared" si="24"/>
        <v>132000</v>
      </c>
      <c r="G91" s="21">
        <f t="shared" si="25"/>
        <v>121846.15384615386</v>
      </c>
      <c r="H91" s="21">
        <f t="shared" si="26"/>
        <v>132000</v>
      </c>
      <c r="I91" s="21">
        <f t="shared" si="27"/>
        <v>121846.15384615386</v>
      </c>
      <c r="J91" s="21">
        <f t="shared" si="28"/>
        <v>126720.00000000001</v>
      </c>
      <c r="K91" s="21">
        <f t="shared" si="29"/>
        <v>121846.15384615386</v>
      </c>
      <c r="L91" s="21">
        <f t="shared" si="30"/>
        <v>132000</v>
      </c>
      <c r="M91" s="21">
        <f t="shared" si="31"/>
        <v>121846.15384615386</v>
      </c>
      <c r="N91" s="21">
        <f t="shared" si="32"/>
        <v>121846.15384615386</v>
      </c>
      <c r="O91" s="21">
        <f t="shared" si="33"/>
        <v>132000</v>
      </c>
      <c r="P91" s="21">
        <f t="shared" si="34"/>
        <v>126720.00000000001</v>
      </c>
      <c r="Q91" s="21">
        <f t="shared" si="35"/>
        <v>132000</v>
      </c>
      <c r="R91" s="20">
        <f t="shared" si="36"/>
        <v>1522670.7692307692</v>
      </c>
      <c r="T91" s="20"/>
      <c r="U91" s="21"/>
    </row>
    <row r="92" spans="1:21" x14ac:dyDescent="0.3">
      <c r="A92" s="37"/>
    </row>
    <row r="93" spans="1:21" x14ac:dyDescent="0.3">
      <c r="A93" s="37"/>
      <c r="B93" s="18">
        <v>9003</v>
      </c>
      <c r="C93" s="18" t="s">
        <v>167</v>
      </c>
      <c r="F93" s="23"/>
    </row>
    <row r="94" spans="1:21" x14ac:dyDescent="0.3">
      <c r="A94" s="37"/>
      <c r="C94" s="18">
        <v>1001</v>
      </c>
      <c r="D94" s="18" t="s">
        <v>1</v>
      </c>
      <c r="E94" s="18" t="s">
        <v>18</v>
      </c>
      <c r="F94" s="21">
        <f t="shared" ref="F94:F106" si="39">F34*$F$58</f>
        <v>21000</v>
      </c>
      <c r="G94" s="21">
        <f t="shared" ref="G94:G106" si="40">F34*$G$58</f>
        <v>19384.615384615387</v>
      </c>
      <c r="H94" s="21">
        <f t="shared" ref="H94:H106" si="41">F34*$H$58</f>
        <v>21000</v>
      </c>
      <c r="I94" s="21">
        <f t="shared" ref="I94:I106" si="42">F34*$I$58</f>
        <v>19384.615384615387</v>
      </c>
      <c r="J94" s="21">
        <f t="shared" ref="J94:J106" si="43">F34*$J$58</f>
        <v>20160</v>
      </c>
      <c r="K94" s="21">
        <f t="shared" ref="K94:K106" si="44">F34*$K$58</f>
        <v>19384.615384615387</v>
      </c>
      <c r="L94" s="21">
        <f t="shared" ref="L94:L106" si="45">F34*$L$58</f>
        <v>21000</v>
      </c>
      <c r="M94" s="21">
        <f t="shared" ref="M94:M106" si="46">F34*$M$58</f>
        <v>19384.615384615387</v>
      </c>
      <c r="N94" s="21">
        <f t="shared" ref="N94:N106" si="47">F34*$N$58</f>
        <v>19384.615384615387</v>
      </c>
      <c r="O94" s="21">
        <f t="shared" ref="O94:O106" si="48">F34*$O$58</f>
        <v>21000</v>
      </c>
      <c r="P94" s="21">
        <f t="shared" ref="P94:P106" si="49">F34*$P$58</f>
        <v>20160</v>
      </c>
      <c r="Q94" s="21">
        <f t="shared" ref="Q94:Q106" si="50">F34*$Q$58</f>
        <v>21000</v>
      </c>
      <c r="R94" s="20">
        <f t="shared" ref="R94:R106" si="51">SUM(F94:Q94)</f>
        <v>242243.07692307694</v>
      </c>
      <c r="T94" s="20">
        <f t="shared" ref="T94:T103" si="52">G34</f>
        <v>100</v>
      </c>
      <c r="U94" s="21">
        <f t="shared" ref="U94:U103" si="53">R94*T94</f>
        <v>24224307.692307692</v>
      </c>
    </row>
    <row r="95" spans="1:21" x14ac:dyDescent="0.3">
      <c r="A95" s="37"/>
      <c r="C95" s="18">
        <v>1002</v>
      </c>
      <c r="D95" s="18" t="s">
        <v>2</v>
      </c>
      <c r="E95" s="18" t="s">
        <v>18</v>
      </c>
      <c r="F95" s="21">
        <f t="shared" si="39"/>
        <v>10500</v>
      </c>
      <c r="G95" s="21">
        <f t="shared" si="40"/>
        <v>9692.3076923076933</v>
      </c>
      <c r="H95" s="21">
        <f t="shared" si="41"/>
        <v>10500</v>
      </c>
      <c r="I95" s="21">
        <f t="shared" si="42"/>
        <v>9692.3076923076933</v>
      </c>
      <c r="J95" s="21">
        <f t="shared" si="43"/>
        <v>10080</v>
      </c>
      <c r="K95" s="21">
        <f t="shared" si="44"/>
        <v>9692.3076923076933</v>
      </c>
      <c r="L95" s="21">
        <f t="shared" si="45"/>
        <v>10500</v>
      </c>
      <c r="M95" s="21">
        <f t="shared" si="46"/>
        <v>9692.3076923076933</v>
      </c>
      <c r="N95" s="21">
        <f t="shared" si="47"/>
        <v>9692.3076923076933</v>
      </c>
      <c r="O95" s="21">
        <f t="shared" si="48"/>
        <v>10500</v>
      </c>
      <c r="P95" s="21">
        <f t="shared" si="49"/>
        <v>10080</v>
      </c>
      <c r="Q95" s="21">
        <f t="shared" si="50"/>
        <v>10500</v>
      </c>
      <c r="R95" s="20">
        <f t="shared" si="51"/>
        <v>121121.53846153847</v>
      </c>
      <c r="T95" s="20">
        <f t="shared" si="52"/>
        <v>55</v>
      </c>
      <c r="U95" s="21">
        <f t="shared" si="53"/>
        <v>6661684.615384616</v>
      </c>
    </row>
    <row r="96" spans="1:21" x14ac:dyDescent="0.3">
      <c r="A96" s="37"/>
      <c r="C96" s="18">
        <v>1003</v>
      </c>
      <c r="D96" s="18" t="s">
        <v>3</v>
      </c>
      <c r="E96" s="18" t="s">
        <v>18</v>
      </c>
      <c r="F96" s="21">
        <f t="shared" si="39"/>
        <v>6720</v>
      </c>
      <c r="G96" s="21">
        <f t="shared" si="40"/>
        <v>6203.0769230769229</v>
      </c>
      <c r="H96" s="21">
        <f t="shared" si="41"/>
        <v>6720</v>
      </c>
      <c r="I96" s="21">
        <f t="shared" si="42"/>
        <v>6203.0769230769229</v>
      </c>
      <c r="J96" s="21">
        <f t="shared" si="43"/>
        <v>6451.2000000000007</v>
      </c>
      <c r="K96" s="21">
        <f t="shared" si="44"/>
        <v>6203.0769230769229</v>
      </c>
      <c r="L96" s="21">
        <f t="shared" si="45"/>
        <v>6720</v>
      </c>
      <c r="M96" s="21">
        <f t="shared" si="46"/>
        <v>6203.0769230769229</v>
      </c>
      <c r="N96" s="21">
        <f t="shared" si="47"/>
        <v>6203.0769230769229</v>
      </c>
      <c r="O96" s="21">
        <f t="shared" si="48"/>
        <v>6720</v>
      </c>
      <c r="P96" s="21">
        <f t="shared" si="49"/>
        <v>6451.2000000000007</v>
      </c>
      <c r="Q96" s="21">
        <f t="shared" si="50"/>
        <v>6720</v>
      </c>
      <c r="R96" s="20">
        <f t="shared" si="51"/>
        <v>77517.784615384619</v>
      </c>
      <c r="T96" s="20">
        <f t="shared" si="52"/>
        <v>20</v>
      </c>
      <c r="U96" s="21">
        <f t="shared" si="53"/>
        <v>1550355.6923076925</v>
      </c>
    </row>
    <row r="97" spans="1:21" x14ac:dyDescent="0.3">
      <c r="A97" s="37"/>
      <c r="C97" s="18">
        <v>1004</v>
      </c>
      <c r="D97" s="18" t="s">
        <v>4</v>
      </c>
      <c r="E97" s="18" t="s">
        <v>18</v>
      </c>
      <c r="F97" s="21">
        <f t="shared" si="39"/>
        <v>42000</v>
      </c>
      <c r="G97" s="21">
        <f t="shared" si="40"/>
        <v>38769.230769230773</v>
      </c>
      <c r="H97" s="21">
        <f t="shared" si="41"/>
        <v>42000</v>
      </c>
      <c r="I97" s="21">
        <f t="shared" si="42"/>
        <v>38769.230769230773</v>
      </c>
      <c r="J97" s="21">
        <f t="shared" si="43"/>
        <v>40320</v>
      </c>
      <c r="K97" s="21">
        <f t="shared" si="44"/>
        <v>38769.230769230773</v>
      </c>
      <c r="L97" s="21">
        <f t="shared" si="45"/>
        <v>42000</v>
      </c>
      <c r="M97" s="21">
        <f t="shared" si="46"/>
        <v>38769.230769230773</v>
      </c>
      <c r="N97" s="21">
        <f t="shared" si="47"/>
        <v>38769.230769230773</v>
      </c>
      <c r="O97" s="21">
        <f t="shared" si="48"/>
        <v>42000</v>
      </c>
      <c r="P97" s="21">
        <f t="shared" si="49"/>
        <v>40320</v>
      </c>
      <c r="Q97" s="21">
        <f t="shared" si="50"/>
        <v>42000</v>
      </c>
      <c r="R97" s="20">
        <f t="shared" si="51"/>
        <v>484486.15384615387</v>
      </c>
      <c r="T97" s="20">
        <f t="shared" si="52"/>
        <v>34</v>
      </c>
      <c r="U97" s="21">
        <f t="shared" si="53"/>
        <v>16472529.230769232</v>
      </c>
    </row>
    <row r="98" spans="1:21" x14ac:dyDescent="0.3">
      <c r="A98" s="37"/>
      <c r="C98" s="18">
        <v>1005</v>
      </c>
      <c r="D98" s="18" t="s">
        <v>5</v>
      </c>
      <c r="E98" s="18" t="s">
        <v>18</v>
      </c>
      <c r="F98" s="21">
        <f t="shared" si="39"/>
        <v>14070.000000000002</v>
      </c>
      <c r="G98" s="21">
        <f t="shared" si="40"/>
        <v>12987.69230769231</v>
      </c>
      <c r="H98" s="21">
        <f t="shared" si="41"/>
        <v>14070.000000000002</v>
      </c>
      <c r="I98" s="21">
        <f t="shared" si="42"/>
        <v>12987.69230769231</v>
      </c>
      <c r="J98" s="21">
        <f t="shared" si="43"/>
        <v>13507.200000000003</v>
      </c>
      <c r="K98" s="21">
        <f t="shared" si="44"/>
        <v>12987.69230769231</v>
      </c>
      <c r="L98" s="21">
        <f t="shared" si="45"/>
        <v>14070.000000000002</v>
      </c>
      <c r="M98" s="21">
        <f t="shared" si="46"/>
        <v>12987.69230769231</v>
      </c>
      <c r="N98" s="21">
        <f t="shared" si="47"/>
        <v>12987.69230769231</v>
      </c>
      <c r="O98" s="21">
        <f t="shared" si="48"/>
        <v>14070.000000000002</v>
      </c>
      <c r="P98" s="21">
        <f t="shared" si="49"/>
        <v>13507.200000000003</v>
      </c>
      <c r="Q98" s="21">
        <f t="shared" si="50"/>
        <v>14070.000000000002</v>
      </c>
      <c r="R98" s="20">
        <f t="shared" si="51"/>
        <v>162302.86153846158</v>
      </c>
      <c r="T98" s="20">
        <f t="shared" si="52"/>
        <v>15</v>
      </c>
      <c r="U98" s="21">
        <f t="shared" si="53"/>
        <v>2434542.9230769239</v>
      </c>
    </row>
    <row r="99" spans="1:21" x14ac:dyDescent="0.3">
      <c r="A99" s="37"/>
      <c r="C99" s="18">
        <v>1006</v>
      </c>
      <c r="D99" s="18" t="s">
        <v>6</v>
      </c>
      <c r="E99" s="18" t="s">
        <v>18</v>
      </c>
      <c r="F99" s="21">
        <f t="shared" si="39"/>
        <v>4200</v>
      </c>
      <c r="G99" s="21">
        <f t="shared" si="40"/>
        <v>3876.9230769230771</v>
      </c>
      <c r="H99" s="21">
        <f t="shared" si="41"/>
        <v>4200</v>
      </c>
      <c r="I99" s="21">
        <f t="shared" si="42"/>
        <v>3876.9230769230771</v>
      </c>
      <c r="J99" s="21">
        <f t="shared" si="43"/>
        <v>4032.0000000000005</v>
      </c>
      <c r="K99" s="21">
        <f t="shared" si="44"/>
        <v>3876.9230769230771</v>
      </c>
      <c r="L99" s="21">
        <f t="shared" si="45"/>
        <v>4200</v>
      </c>
      <c r="M99" s="21">
        <f t="shared" si="46"/>
        <v>3876.9230769230771</v>
      </c>
      <c r="N99" s="21">
        <f t="shared" si="47"/>
        <v>3876.9230769230771</v>
      </c>
      <c r="O99" s="21">
        <f t="shared" si="48"/>
        <v>4200</v>
      </c>
      <c r="P99" s="21">
        <f t="shared" si="49"/>
        <v>4032.0000000000005</v>
      </c>
      <c r="Q99" s="21">
        <f t="shared" si="50"/>
        <v>4200</v>
      </c>
      <c r="R99" s="20">
        <f t="shared" si="51"/>
        <v>48448.61538461539</v>
      </c>
      <c r="T99" s="20">
        <f t="shared" si="52"/>
        <v>67</v>
      </c>
      <c r="U99" s="21">
        <f t="shared" si="53"/>
        <v>3246057.230769231</v>
      </c>
    </row>
    <row r="100" spans="1:21" x14ac:dyDescent="0.3">
      <c r="A100" s="37"/>
      <c r="C100" s="18">
        <v>1007</v>
      </c>
      <c r="D100" s="18" t="s">
        <v>7</v>
      </c>
      <c r="E100" s="18" t="s">
        <v>18</v>
      </c>
      <c r="F100" s="21">
        <f t="shared" si="39"/>
        <v>2100</v>
      </c>
      <c r="G100" s="21">
        <f t="shared" si="40"/>
        <v>1938.4615384615386</v>
      </c>
      <c r="H100" s="21">
        <f t="shared" si="41"/>
        <v>2100</v>
      </c>
      <c r="I100" s="21">
        <f t="shared" si="42"/>
        <v>1938.4615384615386</v>
      </c>
      <c r="J100" s="21">
        <f t="shared" si="43"/>
        <v>2016.0000000000002</v>
      </c>
      <c r="K100" s="21">
        <f t="shared" si="44"/>
        <v>1938.4615384615386</v>
      </c>
      <c r="L100" s="21">
        <f t="shared" si="45"/>
        <v>2100</v>
      </c>
      <c r="M100" s="21">
        <f t="shared" si="46"/>
        <v>1938.4615384615386</v>
      </c>
      <c r="N100" s="21">
        <f t="shared" si="47"/>
        <v>1938.4615384615386</v>
      </c>
      <c r="O100" s="21">
        <f t="shared" si="48"/>
        <v>2100</v>
      </c>
      <c r="P100" s="21">
        <f t="shared" si="49"/>
        <v>2016.0000000000002</v>
      </c>
      <c r="Q100" s="21">
        <f t="shared" si="50"/>
        <v>2100</v>
      </c>
      <c r="R100" s="20">
        <f t="shared" si="51"/>
        <v>24224.307692307695</v>
      </c>
      <c r="T100" s="20">
        <f t="shared" si="52"/>
        <v>22</v>
      </c>
      <c r="U100" s="21">
        <f t="shared" si="53"/>
        <v>532934.76923076925</v>
      </c>
    </row>
    <row r="101" spans="1:21" x14ac:dyDescent="0.3">
      <c r="A101" s="37"/>
      <c r="C101" s="18">
        <v>1008</v>
      </c>
      <c r="D101" s="18" t="s">
        <v>8</v>
      </c>
      <c r="E101" s="18" t="s">
        <v>18</v>
      </c>
      <c r="F101" s="21">
        <f t="shared" si="39"/>
        <v>16800</v>
      </c>
      <c r="G101" s="21">
        <f t="shared" si="40"/>
        <v>15507.692307692309</v>
      </c>
      <c r="H101" s="21">
        <f t="shared" si="41"/>
        <v>16800</v>
      </c>
      <c r="I101" s="21">
        <f t="shared" si="42"/>
        <v>15507.692307692309</v>
      </c>
      <c r="J101" s="21">
        <f t="shared" si="43"/>
        <v>16128.000000000002</v>
      </c>
      <c r="K101" s="21">
        <f t="shared" si="44"/>
        <v>15507.692307692309</v>
      </c>
      <c r="L101" s="21">
        <f t="shared" si="45"/>
        <v>16800</v>
      </c>
      <c r="M101" s="21">
        <f t="shared" si="46"/>
        <v>15507.692307692309</v>
      </c>
      <c r="N101" s="21">
        <f t="shared" si="47"/>
        <v>15507.692307692309</v>
      </c>
      <c r="O101" s="21">
        <f t="shared" si="48"/>
        <v>16800</v>
      </c>
      <c r="P101" s="21">
        <f t="shared" si="49"/>
        <v>16128.000000000002</v>
      </c>
      <c r="Q101" s="21">
        <f t="shared" si="50"/>
        <v>16800</v>
      </c>
      <c r="R101" s="20">
        <f t="shared" si="51"/>
        <v>193794.46153846156</v>
      </c>
      <c r="T101" s="20">
        <f t="shared" si="52"/>
        <v>35</v>
      </c>
      <c r="U101" s="21">
        <f t="shared" si="53"/>
        <v>6782806.1538461549</v>
      </c>
    </row>
    <row r="102" spans="1:21" x14ac:dyDescent="0.3">
      <c r="A102" s="37"/>
      <c r="C102" s="18">
        <v>1009</v>
      </c>
      <c r="D102" s="18" t="s">
        <v>9</v>
      </c>
      <c r="E102" s="18" t="s">
        <v>19</v>
      </c>
      <c r="F102" s="21">
        <f t="shared" si="39"/>
        <v>20000</v>
      </c>
      <c r="G102" s="21">
        <f t="shared" si="40"/>
        <v>18461.538461538461</v>
      </c>
      <c r="H102" s="21">
        <f t="shared" si="41"/>
        <v>20000</v>
      </c>
      <c r="I102" s="21">
        <f t="shared" si="42"/>
        <v>18461.538461538461</v>
      </c>
      <c r="J102" s="21">
        <f t="shared" si="43"/>
        <v>19200</v>
      </c>
      <c r="K102" s="21">
        <f t="shared" si="44"/>
        <v>18461.538461538461</v>
      </c>
      <c r="L102" s="21">
        <f t="shared" si="45"/>
        <v>20000</v>
      </c>
      <c r="M102" s="21">
        <f t="shared" si="46"/>
        <v>18461.538461538461</v>
      </c>
      <c r="N102" s="21">
        <f t="shared" si="47"/>
        <v>18461.538461538461</v>
      </c>
      <c r="O102" s="21">
        <f t="shared" si="48"/>
        <v>20000</v>
      </c>
      <c r="P102" s="21">
        <f t="shared" si="49"/>
        <v>19200</v>
      </c>
      <c r="Q102" s="21">
        <f t="shared" si="50"/>
        <v>20000</v>
      </c>
      <c r="R102" s="20">
        <f t="shared" si="51"/>
        <v>230707.69230769231</v>
      </c>
      <c r="T102" s="20">
        <f t="shared" si="52"/>
        <v>15</v>
      </c>
      <c r="U102" s="21">
        <f t="shared" si="53"/>
        <v>3460615.3846153845</v>
      </c>
    </row>
    <row r="103" spans="1:21" x14ac:dyDescent="0.3">
      <c r="A103" s="37"/>
      <c r="C103" s="18">
        <v>1010</v>
      </c>
      <c r="D103" s="18" t="s">
        <v>10</v>
      </c>
      <c r="E103" s="18" t="s">
        <v>19</v>
      </c>
      <c r="F103" s="21">
        <f t="shared" si="39"/>
        <v>20000</v>
      </c>
      <c r="G103" s="21">
        <f t="shared" si="40"/>
        <v>18461.538461538461</v>
      </c>
      <c r="H103" s="21">
        <f t="shared" si="41"/>
        <v>20000</v>
      </c>
      <c r="I103" s="21">
        <f t="shared" si="42"/>
        <v>18461.538461538461</v>
      </c>
      <c r="J103" s="21">
        <f t="shared" si="43"/>
        <v>19200</v>
      </c>
      <c r="K103" s="21">
        <f t="shared" si="44"/>
        <v>18461.538461538461</v>
      </c>
      <c r="L103" s="21">
        <f t="shared" si="45"/>
        <v>20000</v>
      </c>
      <c r="M103" s="21">
        <f t="shared" si="46"/>
        <v>18461.538461538461</v>
      </c>
      <c r="N103" s="21">
        <f t="shared" si="47"/>
        <v>18461.538461538461</v>
      </c>
      <c r="O103" s="21">
        <f t="shared" si="48"/>
        <v>20000</v>
      </c>
      <c r="P103" s="21">
        <f t="shared" si="49"/>
        <v>19200</v>
      </c>
      <c r="Q103" s="21">
        <f t="shared" si="50"/>
        <v>20000</v>
      </c>
      <c r="R103" s="20">
        <f t="shared" si="51"/>
        <v>230707.69230769231</v>
      </c>
      <c r="T103" s="20">
        <f t="shared" si="52"/>
        <v>10</v>
      </c>
      <c r="U103" s="21">
        <f t="shared" si="53"/>
        <v>2307076.923076923</v>
      </c>
    </row>
    <row r="104" spans="1:21" x14ac:dyDescent="0.3">
      <c r="A104" s="37"/>
      <c r="C104" s="25" t="s">
        <v>20</v>
      </c>
      <c r="D104" s="18" t="s">
        <v>23</v>
      </c>
      <c r="E104" s="18" t="s">
        <v>26</v>
      </c>
      <c r="F104" s="21">
        <f t="shared" si="39"/>
        <v>90000</v>
      </c>
      <c r="G104" s="21">
        <f t="shared" si="40"/>
        <v>83076.923076923078</v>
      </c>
      <c r="H104" s="21">
        <f t="shared" si="41"/>
        <v>90000</v>
      </c>
      <c r="I104" s="21">
        <f t="shared" si="42"/>
        <v>83076.923076923078</v>
      </c>
      <c r="J104" s="21">
        <f t="shared" si="43"/>
        <v>86400</v>
      </c>
      <c r="K104" s="21">
        <f t="shared" si="44"/>
        <v>83076.923076923078</v>
      </c>
      <c r="L104" s="21">
        <f t="shared" si="45"/>
        <v>90000</v>
      </c>
      <c r="M104" s="21">
        <f t="shared" si="46"/>
        <v>83076.923076923078</v>
      </c>
      <c r="N104" s="21">
        <f t="shared" si="47"/>
        <v>83076.923076923078</v>
      </c>
      <c r="O104" s="21">
        <f t="shared" si="48"/>
        <v>90000</v>
      </c>
      <c r="P104" s="21">
        <f t="shared" si="49"/>
        <v>86400</v>
      </c>
      <c r="Q104" s="21">
        <f t="shared" si="50"/>
        <v>90000</v>
      </c>
      <c r="R104" s="20">
        <f t="shared" si="51"/>
        <v>1038184.6153846155</v>
      </c>
      <c r="T104" s="20"/>
      <c r="U104" s="21"/>
    </row>
    <row r="105" spans="1:21" x14ac:dyDescent="0.3">
      <c r="A105" s="37"/>
      <c r="C105" s="25" t="s">
        <v>21</v>
      </c>
      <c r="D105" s="18" t="s">
        <v>24</v>
      </c>
      <c r="E105" s="18" t="s">
        <v>26</v>
      </c>
      <c r="F105" s="21">
        <f t="shared" si="39"/>
        <v>126000</v>
      </c>
      <c r="G105" s="21">
        <f t="shared" si="40"/>
        <v>116307.6923076923</v>
      </c>
      <c r="H105" s="21">
        <f t="shared" si="41"/>
        <v>126000</v>
      </c>
      <c r="I105" s="21">
        <f t="shared" si="42"/>
        <v>116307.6923076923</v>
      </c>
      <c r="J105" s="21">
        <f t="shared" si="43"/>
        <v>120960</v>
      </c>
      <c r="K105" s="21">
        <f t="shared" si="44"/>
        <v>116307.6923076923</v>
      </c>
      <c r="L105" s="21">
        <f t="shared" si="45"/>
        <v>126000</v>
      </c>
      <c r="M105" s="21">
        <f t="shared" si="46"/>
        <v>116307.6923076923</v>
      </c>
      <c r="N105" s="21">
        <f t="shared" si="47"/>
        <v>116307.6923076923</v>
      </c>
      <c r="O105" s="21">
        <f t="shared" si="48"/>
        <v>126000</v>
      </c>
      <c r="P105" s="21">
        <f t="shared" si="49"/>
        <v>120960</v>
      </c>
      <c r="Q105" s="21">
        <f t="shared" si="50"/>
        <v>126000</v>
      </c>
      <c r="R105" s="20">
        <f t="shared" si="51"/>
        <v>1453458.4615384615</v>
      </c>
      <c r="T105" s="20"/>
      <c r="U105" s="21"/>
    </row>
    <row r="106" spans="1:21" x14ac:dyDescent="0.3">
      <c r="A106" s="37"/>
      <c r="C106" s="25" t="s">
        <v>22</v>
      </c>
      <c r="D106" s="18" t="s">
        <v>25</v>
      </c>
      <c r="E106" s="18" t="s">
        <v>26</v>
      </c>
      <c r="F106" s="21">
        <f t="shared" si="39"/>
        <v>72000</v>
      </c>
      <c r="G106" s="21">
        <f t="shared" si="40"/>
        <v>66461.538461538468</v>
      </c>
      <c r="H106" s="21">
        <f t="shared" si="41"/>
        <v>72000</v>
      </c>
      <c r="I106" s="21">
        <f t="shared" si="42"/>
        <v>66461.538461538468</v>
      </c>
      <c r="J106" s="21">
        <f t="shared" si="43"/>
        <v>69120</v>
      </c>
      <c r="K106" s="21">
        <f t="shared" si="44"/>
        <v>66461.538461538468</v>
      </c>
      <c r="L106" s="21">
        <f t="shared" si="45"/>
        <v>72000</v>
      </c>
      <c r="M106" s="21">
        <f t="shared" si="46"/>
        <v>66461.538461538468</v>
      </c>
      <c r="N106" s="21">
        <f t="shared" si="47"/>
        <v>66461.538461538468</v>
      </c>
      <c r="O106" s="21">
        <f t="shared" si="48"/>
        <v>72000</v>
      </c>
      <c r="P106" s="21">
        <f t="shared" si="49"/>
        <v>69120</v>
      </c>
      <c r="Q106" s="21">
        <f t="shared" si="50"/>
        <v>72000</v>
      </c>
      <c r="R106" s="20">
        <f t="shared" si="51"/>
        <v>830547.69230769237</v>
      </c>
      <c r="T106" s="20"/>
      <c r="U106" s="21"/>
    </row>
    <row r="107" spans="1:21" x14ac:dyDescent="0.3">
      <c r="U107" s="26">
        <f>SUM(U64:U106)</f>
        <v>231517014.89230767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A8E27-CB01-48D6-B992-A13517DEB98B}">
  <dimension ref="A3:N33"/>
  <sheetViews>
    <sheetView topLeftCell="A16" workbookViewId="0">
      <selection activeCell="M31" sqref="M31"/>
    </sheetView>
  </sheetViews>
  <sheetFormatPr baseColWidth="10" defaultRowHeight="14.5" x14ac:dyDescent="0.35"/>
  <cols>
    <col min="1" max="1" width="3.26953125" customWidth="1"/>
    <col min="2" max="2" width="11.54296875" customWidth="1"/>
    <col min="3" max="3" width="19.453125" customWidth="1"/>
    <col min="4" max="4" width="4" bestFit="1" customWidth="1"/>
    <col min="6" max="6" width="3.26953125" customWidth="1"/>
    <col min="10" max="10" width="3.26953125" customWidth="1"/>
    <col min="11" max="11" width="12.54296875" bestFit="1" customWidth="1"/>
    <col min="12" max="12" width="12.36328125" bestFit="1" customWidth="1"/>
  </cols>
  <sheetData>
    <row r="3" spans="1:11" x14ac:dyDescent="0.35">
      <c r="A3" s="38"/>
      <c r="B3" t="s">
        <v>11</v>
      </c>
      <c r="C3" t="s">
        <v>13</v>
      </c>
      <c r="D3" t="s">
        <v>14</v>
      </c>
      <c r="E3" s="1" t="s">
        <v>236</v>
      </c>
      <c r="J3" s="41"/>
      <c r="K3" s="41" t="s">
        <v>235</v>
      </c>
    </row>
    <row r="4" spans="1:11" x14ac:dyDescent="0.35">
      <c r="A4" s="38"/>
      <c r="B4">
        <v>1001</v>
      </c>
      <c r="C4" t="s">
        <v>1</v>
      </c>
      <c r="D4" t="s">
        <v>18</v>
      </c>
      <c r="E4" s="51">
        <v>100</v>
      </c>
      <c r="J4" s="41" t="s">
        <v>231</v>
      </c>
      <c r="K4" s="41" t="s">
        <v>234</v>
      </c>
    </row>
    <row r="5" spans="1:11" x14ac:dyDescent="0.35">
      <c r="A5" s="38"/>
      <c r="B5">
        <v>1002</v>
      </c>
      <c r="C5" t="s">
        <v>2</v>
      </c>
      <c r="D5" t="s">
        <v>18</v>
      </c>
      <c r="E5" s="51">
        <v>55</v>
      </c>
    </row>
    <row r="6" spans="1:11" x14ac:dyDescent="0.35">
      <c r="A6" s="38"/>
      <c r="B6">
        <v>1003</v>
      </c>
      <c r="C6" t="s">
        <v>3</v>
      </c>
      <c r="D6" t="s">
        <v>18</v>
      </c>
      <c r="E6" s="51">
        <v>20</v>
      </c>
    </row>
    <row r="7" spans="1:11" x14ac:dyDescent="0.35">
      <c r="A7" s="38"/>
      <c r="B7">
        <v>1004</v>
      </c>
      <c r="C7" t="s">
        <v>4</v>
      </c>
      <c r="D7" t="s">
        <v>18</v>
      </c>
      <c r="E7" s="51">
        <v>34</v>
      </c>
    </row>
    <row r="8" spans="1:11" x14ac:dyDescent="0.35">
      <c r="A8" s="38"/>
      <c r="B8">
        <v>1005</v>
      </c>
      <c r="C8" t="s">
        <v>5</v>
      </c>
      <c r="D8" t="s">
        <v>18</v>
      </c>
      <c r="E8" s="51">
        <v>15</v>
      </c>
    </row>
    <row r="9" spans="1:11" x14ac:dyDescent="0.35">
      <c r="A9" s="38"/>
      <c r="B9">
        <v>1006</v>
      </c>
      <c r="C9" t="s">
        <v>6</v>
      </c>
      <c r="D9" t="s">
        <v>18</v>
      </c>
      <c r="E9" s="51">
        <v>67</v>
      </c>
    </row>
    <row r="10" spans="1:11" x14ac:dyDescent="0.35">
      <c r="A10" s="38"/>
      <c r="B10">
        <v>1007</v>
      </c>
      <c r="C10" t="s">
        <v>7</v>
      </c>
      <c r="D10" t="s">
        <v>18</v>
      </c>
      <c r="E10" s="51">
        <v>22</v>
      </c>
    </row>
    <row r="11" spans="1:11" x14ac:dyDescent="0.35">
      <c r="A11" s="38"/>
      <c r="B11">
        <v>1008</v>
      </c>
      <c r="C11" t="s">
        <v>8</v>
      </c>
      <c r="D11" t="s">
        <v>18</v>
      </c>
      <c r="E11" s="51">
        <v>35</v>
      </c>
    </row>
    <row r="12" spans="1:11" x14ac:dyDescent="0.35">
      <c r="A12" s="38"/>
      <c r="B12">
        <v>1009</v>
      </c>
      <c r="C12" t="s">
        <v>9</v>
      </c>
      <c r="D12" t="s">
        <v>19</v>
      </c>
      <c r="E12" s="51">
        <v>15</v>
      </c>
    </row>
    <row r="13" spans="1:11" x14ac:dyDescent="0.35">
      <c r="A13" s="38"/>
      <c r="B13">
        <v>1010</v>
      </c>
      <c r="C13" t="s">
        <v>10</v>
      </c>
      <c r="D13" t="s">
        <v>19</v>
      </c>
      <c r="E13" s="51">
        <v>10</v>
      </c>
    </row>
    <row r="18" spans="1:14" x14ac:dyDescent="0.35">
      <c r="A18" s="39"/>
      <c r="B18" s="3"/>
      <c r="D18" s="43" t="s">
        <v>216</v>
      </c>
      <c r="E18" s="43"/>
      <c r="F18" s="18"/>
      <c r="G18" s="18" t="s">
        <v>213</v>
      </c>
      <c r="H18" s="18" t="s">
        <v>207</v>
      </c>
      <c r="I18" s="18" t="s">
        <v>214</v>
      </c>
      <c r="J18" s="18"/>
      <c r="K18" s="18" t="s">
        <v>213</v>
      </c>
      <c r="L18" s="18" t="s">
        <v>207</v>
      </c>
      <c r="M18" s="23" t="s">
        <v>214</v>
      </c>
    </row>
    <row r="19" spans="1:14" x14ac:dyDescent="0.35">
      <c r="A19" s="39"/>
      <c r="B19" s="18">
        <v>1001</v>
      </c>
      <c r="C19" s="18" t="s">
        <v>1</v>
      </c>
      <c r="D19" s="18" t="s">
        <v>18</v>
      </c>
      <c r="E19" s="20">
        <f>'PROD REAL'!F60</f>
        <v>69650</v>
      </c>
      <c r="G19" s="20">
        <f>E4</f>
        <v>100</v>
      </c>
      <c r="H19" s="20">
        <v>105</v>
      </c>
      <c r="I19" s="20">
        <f>H19-G19</f>
        <v>5</v>
      </c>
      <c r="J19" s="20"/>
      <c r="K19" s="20">
        <f>E19*G19</f>
        <v>6965000</v>
      </c>
      <c r="L19" s="20">
        <f>E19*H19</f>
        <v>7313250</v>
      </c>
      <c r="M19" s="20">
        <f>L19-K19</f>
        <v>348250</v>
      </c>
      <c r="N19" s="20"/>
    </row>
    <row r="20" spans="1:14" x14ac:dyDescent="0.35">
      <c r="A20" s="39"/>
      <c r="B20" s="18">
        <v>1002</v>
      </c>
      <c r="C20" s="18" t="s">
        <v>2</v>
      </c>
      <c r="D20" s="18" t="s">
        <v>18</v>
      </c>
      <c r="E20" s="20">
        <f>'PROD REAL'!F61</f>
        <v>34825</v>
      </c>
      <c r="G20" s="20">
        <f t="shared" ref="G20:G28" si="0">E5</f>
        <v>55</v>
      </c>
      <c r="H20" s="20">
        <v>56</v>
      </c>
      <c r="I20" s="20">
        <f t="shared" ref="I20:I28" si="1">H20-G20</f>
        <v>1</v>
      </c>
      <c r="J20" s="20"/>
      <c r="K20" s="20">
        <f t="shared" ref="K20:K28" si="2">E20*G20</f>
        <v>1915375</v>
      </c>
      <c r="L20" s="20">
        <f t="shared" ref="L20:L28" si="3">E20*H20</f>
        <v>1950200</v>
      </c>
      <c r="M20" s="20">
        <f t="shared" ref="M20:M28" si="4">L20-K20</f>
        <v>34825</v>
      </c>
      <c r="N20" s="20"/>
    </row>
    <row r="21" spans="1:14" x14ac:dyDescent="0.35">
      <c r="A21" s="39"/>
      <c r="B21" s="18">
        <v>1003</v>
      </c>
      <c r="C21" s="18" t="s">
        <v>3</v>
      </c>
      <c r="D21" s="18" t="s">
        <v>18</v>
      </c>
      <c r="E21" s="20">
        <f>'PROD REAL'!F62</f>
        <v>22288</v>
      </c>
      <c r="G21" s="20">
        <f t="shared" si="0"/>
        <v>20</v>
      </c>
      <c r="H21" s="20">
        <v>21</v>
      </c>
      <c r="I21" s="20">
        <f t="shared" si="1"/>
        <v>1</v>
      </c>
      <c r="J21" s="20"/>
      <c r="K21" s="20">
        <f t="shared" si="2"/>
        <v>445760</v>
      </c>
      <c r="L21" s="20">
        <f t="shared" si="3"/>
        <v>468048</v>
      </c>
      <c r="M21" s="20">
        <f t="shared" si="4"/>
        <v>22288</v>
      </c>
      <c r="N21" s="20"/>
    </row>
    <row r="22" spans="1:14" x14ac:dyDescent="0.35">
      <c r="A22" s="39"/>
      <c r="B22" s="18">
        <v>1004</v>
      </c>
      <c r="C22" s="18" t="s">
        <v>4</v>
      </c>
      <c r="D22" s="18" t="s">
        <v>18</v>
      </c>
      <c r="E22" s="20">
        <f>'PROD REAL'!F63</f>
        <v>139300</v>
      </c>
      <c r="G22" s="20">
        <f t="shared" si="0"/>
        <v>34</v>
      </c>
      <c r="H22" s="20">
        <v>30</v>
      </c>
      <c r="I22" s="20">
        <f t="shared" si="1"/>
        <v>-4</v>
      </c>
      <c r="J22" s="20"/>
      <c r="K22" s="20">
        <f t="shared" si="2"/>
        <v>4736200</v>
      </c>
      <c r="L22" s="20">
        <f t="shared" si="3"/>
        <v>4179000</v>
      </c>
      <c r="M22" s="20">
        <f t="shared" si="4"/>
        <v>-557200</v>
      </c>
      <c r="N22" s="20"/>
    </row>
    <row r="23" spans="1:14" x14ac:dyDescent="0.35">
      <c r="A23" s="39"/>
      <c r="B23" s="18">
        <v>1005</v>
      </c>
      <c r="C23" s="18" t="s">
        <v>5</v>
      </c>
      <c r="D23" s="18" t="s">
        <v>18</v>
      </c>
      <c r="E23" s="20">
        <f>'PROD REAL'!F64</f>
        <v>46665.5</v>
      </c>
      <c r="G23" s="20">
        <f t="shared" si="0"/>
        <v>15</v>
      </c>
      <c r="H23" s="20">
        <v>15</v>
      </c>
      <c r="I23" s="20">
        <f t="shared" si="1"/>
        <v>0</v>
      </c>
      <c r="J23" s="20"/>
      <c r="K23" s="20">
        <f t="shared" si="2"/>
        <v>699982.5</v>
      </c>
      <c r="L23" s="20">
        <f t="shared" si="3"/>
        <v>699982.5</v>
      </c>
      <c r="M23" s="20">
        <f t="shared" si="4"/>
        <v>0</v>
      </c>
      <c r="N23" s="20"/>
    </row>
    <row r="24" spans="1:14" x14ac:dyDescent="0.35">
      <c r="A24" s="39"/>
      <c r="B24" s="18">
        <v>1006</v>
      </c>
      <c r="C24" s="18" t="s">
        <v>6</v>
      </c>
      <c r="D24" s="18" t="s">
        <v>18</v>
      </c>
      <c r="E24" s="20">
        <f>'PROD REAL'!F65</f>
        <v>13930</v>
      </c>
      <c r="G24" s="20">
        <f t="shared" si="0"/>
        <v>67</v>
      </c>
      <c r="H24" s="20">
        <v>67</v>
      </c>
      <c r="I24" s="20">
        <f t="shared" si="1"/>
        <v>0</v>
      </c>
      <c r="J24" s="20"/>
      <c r="K24" s="20">
        <f t="shared" si="2"/>
        <v>933310</v>
      </c>
      <c r="L24" s="20">
        <f t="shared" si="3"/>
        <v>933310</v>
      </c>
      <c r="M24" s="20">
        <f t="shared" si="4"/>
        <v>0</v>
      </c>
      <c r="N24" s="20"/>
    </row>
    <row r="25" spans="1:14" x14ac:dyDescent="0.35">
      <c r="A25" s="39"/>
      <c r="B25" s="18">
        <v>1007</v>
      </c>
      <c r="C25" s="18" t="s">
        <v>7</v>
      </c>
      <c r="D25" s="18" t="s">
        <v>18</v>
      </c>
      <c r="E25" s="20">
        <f>'PROD REAL'!F66</f>
        <v>6965</v>
      </c>
      <c r="G25" s="20">
        <f t="shared" si="0"/>
        <v>22</v>
      </c>
      <c r="H25" s="20">
        <v>18</v>
      </c>
      <c r="I25" s="20">
        <f t="shared" si="1"/>
        <v>-4</v>
      </c>
      <c r="J25" s="20"/>
      <c r="K25" s="20">
        <f t="shared" si="2"/>
        <v>153230</v>
      </c>
      <c r="L25" s="20">
        <f t="shared" si="3"/>
        <v>125370</v>
      </c>
      <c r="M25" s="20">
        <f t="shared" si="4"/>
        <v>-27860</v>
      </c>
      <c r="N25" s="20"/>
    </row>
    <row r="26" spans="1:14" x14ac:dyDescent="0.35">
      <c r="A26" s="39"/>
      <c r="B26" s="18">
        <v>1008</v>
      </c>
      <c r="C26" s="18" t="s">
        <v>8</v>
      </c>
      <c r="D26" s="18" t="s">
        <v>18</v>
      </c>
      <c r="E26" s="20">
        <f>'PROD REAL'!F67</f>
        <v>55720</v>
      </c>
      <c r="G26" s="20">
        <f t="shared" si="0"/>
        <v>35</v>
      </c>
      <c r="H26" s="20">
        <v>35.5</v>
      </c>
      <c r="I26" s="20">
        <f t="shared" si="1"/>
        <v>0.5</v>
      </c>
      <c r="J26" s="20"/>
      <c r="K26" s="20">
        <f t="shared" si="2"/>
        <v>1950200</v>
      </c>
      <c r="L26" s="20">
        <f t="shared" si="3"/>
        <v>1978060</v>
      </c>
      <c r="M26" s="20">
        <f t="shared" si="4"/>
        <v>27860</v>
      </c>
      <c r="N26" s="20"/>
    </row>
    <row r="27" spans="1:14" x14ac:dyDescent="0.35">
      <c r="A27" s="39"/>
      <c r="B27" s="18">
        <v>1009</v>
      </c>
      <c r="C27" s="18" t="s">
        <v>9</v>
      </c>
      <c r="D27" s="18" t="s">
        <v>19</v>
      </c>
      <c r="E27" s="20">
        <f>'PROD REAL'!F68</f>
        <v>70000</v>
      </c>
      <c r="G27" s="20">
        <f t="shared" si="0"/>
        <v>15</v>
      </c>
      <c r="H27" s="20">
        <v>20</v>
      </c>
      <c r="I27" s="20">
        <f t="shared" si="1"/>
        <v>5</v>
      </c>
      <c r="J27" s="20"/>
      <c r="K27" s="20">
        <f t="shared" si="2"/>
        <v>1050000</v>
      </c>
      <c r="L27" s="20">
        <f t="shared" si="3"/>
        <v>1400000</v>
      </c>
      <c r="M27" s="20">
        <f t="shared" si="4"/>
        <v>350000</v>
      </c>
      <c r="N27" s="20"/>
    </row>
    <row r="28" spans="1:14" x14ac:dyDescent="0.35">
      <c r="A28" s="39"/>
      <c r="B28" s="18">
        <v>1010</v>
      </c>
      <c r="C28" s="18" t="s">
        <v>10</v>
      </c>
      <c r="D28" s="18" t="s">
        <v>19</v>
      </c>
      <c r="E28" s="20">
        <f>'PROD REAL'!F69</f>
        <v>70000</v>
      </c>
      <c r="G28" s="20">
        <f t="shared" si="0"/>
        <v>10</v>
      </c>
      <c r="H28" s="20">
        <v>12</v>
      </c>
      <c r="I28" s="20">
        <f t="shared" si="1"/>
        <v>2</v>
      </c>
      <c r="J28" s="20"/>
      <c r="K28" s="20">
        <f t="shared" si="2"/>
        <v>700000</v>
      </c>
      <c r="L28" s="20">
        <f t="shared" si="3"/>
        <v>840000</v>
      </c>
      <c r="M28" s="20">
        <f t="shared" si="4"/>
        <v>140000</v>
      </c>
      <c r="N28" s="20"/>
    </row>
    <row r="29" spans="1:14" ht="15" thickBot="1" x14ac:dyDescent="0.4">
      <c r="A29" s="39"/>
      <c r="H29" s="20"/>
      <c r="I29" s="20"/>
      <c r="J29" s="20"/>
      <c r="K29" s="34">
        <f>SUM(K19:K28)</f>
        <v>19549057.5</v>
      </c>
      <c r="L29" s="34">
        <f t="shared" ref="L29:M29" si="5">SUM(L19:L28)</f>
        <v>19887220.5</v>
      </c>
      <c r="M29" s="35">
        <f t="shared" si="5"/>
        <v>338163</v>
      </c>
      <c r="N29" s="20"/>
    </row>
    <row r="30" spans="1:14" ht="15" thickTop="1" x14ac:dyDescent="0.35">
      <c r="H30" s="20"/>
      <c r="I30" s="20"/>
      <c r="J30" s="20"/>
      <c r="K30" s="20"/>
      <c r="L30" s="20"/>
      <c r="M30" s="20"/>
      <c r="N30" s="20"/>
    </row>
    <row r="31" spans="1:14" x14ac:dyDescent="0.35">
      <c r="H31" s="20"/>
      <c r="I31" s="20"/>
      <c r="J31" s="20"/>
      <c r="K31" s="20"/>
      <c r="L31" s="20"/>
      <c r="M31" s="20"/>
      <c r="N31" s="20"/>
    </row>
    <row r="32" spans="1:14" x14ac:dyDescent="0.35">
      <c r="H32" s="20"/>
      <c r="I32" s="20"/>
      <c r="J32" s="20"/>
      <c r="K32" s="20"/>
      <c r="L32" s="20"/>
      <c r="M32" s="20"/>
      <c r="N32" s="20"/>
    </row>
    <row r="33" spans="8:14" x14ac:dyDescent="0.35">
      <c r="H33" s="20"/>
      <c r="I33" s="20"/>
      <c r="J33" s="20"/>
      <c r="K33" s="20"/>
      <c r="L33" s="20"/>
      <c r="M33" s="20"/>
      <c r="N33" s="20"/>
    </row>
  </sheetData>
  <mergeCells count="1">
    <mergeCell ref="D18:E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2BDFD-49A8-4409-B241-A71E4439CA72}">
  <dimension ref="A2:M40"/>
  <sheetViews>
    <sheetView topLeftCell="E1" workbookViewId="0">
      <selection activeCell="M10" sqref="M10"/>
    </sheetView>
  </sheetViews>
  <sheetFormatPr baseColWidth="10" defaultRowHeight="14.5" x14ac:dyDescent="0.35"/>
  <cols>
    <col min="1" max="1" width="2.54296875" customWidth="1"/>
    <col min="2" max="2" width="4.36328125" customWidth="1"/>
    <col min="3" max="3" width="25.7265625" bestFit="1" customWidth="1"/>
    <col min="4" max="4" width="22.1796875" customWidth="1"/>
    <col min="5" max="5" width="19.54296875" customWidth="1"/>
    <col min="6" max="6" width="13.90625" bestFit="1" customWidth="1"/>
    <col min="7" max="7" width="18" bestFit="1" customWidth="1"/>
    <col min="8" max="8" width="6.36328125" customWidth="1"/>
    <col min="9" max="9" width="3.08984375" customWidth="1"/>
    <col min="10" max="10" width="17.7265625" customWidth="1"/>
    <col min="11" max="11" width="7.90625" customWidth="1"/>
    <col min="12" max="12" width="5.1796875" bestFit="1" customWidth="1"/>
    <col min="13" max="13" width="15.54296875" bestFit="1" customWidth="1"/>
  </cols>
  <sheetData>
    <row r="2" spans="1:13" x14ac:dyDescent="0.35">
      <c r="G2" s="10">
        <v>1.0492999999999999</v>
      </c>
    </row>
    <row r="3" spans="1:13" x14ac:dyDescent="0.35">
      <c r="A3" s="38"/>
      <c r="B3" s="6" t="s">
        <v>46</v>
      </c>
      <c r="C3" s="6" t="s">
        <v>59</v>
      </c>
      <c r="D3" s="6" t="s">
        <v>47</v>
      </c>
      <c r="E3" s="6" t="s">
        <v>123</v>
      </c>
      <c r="F3" s="6" t="s">
        <v>49</v>
      </c>
      <c r="G3" s="6" t="s">
        <v>50</v>
      </c>
      <c r="I3" s="38"/>
      <c r="J3" s="9" t="s">
        <v>141</v>
      </c>
    </row>
    <row r="4" spans="1:13" x14ac:dyDescent="0.35">
      <c r="A4" s="38"/>
      <c r="B4">
        <v>100</v>
      </c>
      <c r="C4" t="s">
        <v>157</v>
      </c>
      <c r="D4" t="s">
        <v>51</v>
      </c>
      <c r="E4" t="s">
        <v>116</v>
      </c>
      <c r="F4" s="51">
        <v>315</v>
      </c>
      <c r="G4" s="2">
        <f>F4*($G$2)</f>
        <v>330.52949999999998</v>
      </c>
      <c r="I4" s="38"/>
      <c r="J4" t="s">
        <v>142</v>
      </c>
      <c r="K4" s="52">
        <v>15</v>
      </c>
      <c r="L4" t="s">
        <v>145</v>
      </c>
      <c r="M4" t="s">
        <v>147</v>
      </c>
    </row>
    <row r="5" spans="1:13" x14ac:dyDescent="0.35">
      <c r="A5" s="38"/>
      <c r="B5">
        <v>100</v>
      </c>
      <c r="C5" t="s">
        <v>157</v>
      </c>
      <c r="D5" t="s">
        <v>52</v>
      </c>
      <c r="E5" t="s">
        <v>116</v>
      </c>
      <c r="F5" s="51">
        <v>315</v>
      </c>
      <c r="G5" s="2">
        <f t="shared" ref="G5:G40" si="0">F5*($G$2)</f>
        <v>330.52949999999998</v>
      </c>
      <c r="I5" s="38"/>
      <c r="J5" t="s">
        <v>143</v>
      </c>
      <c r="K5" s="52">
        <v>12</v>
      </c>
      <c r="L5" t="s">
        <v>146</v>
      </c>
      <c r="M5" t="s">
        <v>147</v>
      </c>
    </row>
    <row r="6" spans="1:13" x14ac:dyDescent="0.35">
      <c r="A6" s="38"/>
      <c r="B6">
        <v>100</v>
      </c>
      <c r="C6" t="s">
        <v>157</v>
      </c>
      <c r="D6" t="s">
        <v>53</v>
      </c>
      <c r="E6" t="s">
        <v>116</v>
      </c>
      <c r="F6" s="51">
        <v>315</v>
      </c>
      <c r="G6" s="2">
        <f t="shared" si="0"/>
        <v>330.52949999999998</v>
      </c>
      <c r="I6" s="38"/>
      <c r="J6" t="s">
        <v>144</v>
      </c>
      <c r="K6" s="53">
        <v>0.25</v>
      </c>
      <c r="M6" t="s">
        <v>147</v>
      </c>
    </row>
    <row r="7" spans="1:13" x14ac:dyDescent="0.35">
      <c r="A7" s="38"/>
      <c r="B7">
        <v>100</v>
      </c>
      <c r="C7" t="s">
        <v>157</v>
      </c>
      <c r="D7" t="s">
        <v>54</v>
      </c>
      <c r="E7" t="s">
        <v>116</v>
      </c>
      <c r="F7" s="51">
        <v>315</v>
      </c>
      <c r="G7" s="2">
        <f t="shared" si="0"/>
        <v>330.52949999999998</v>
      </c>
      <c r="I7" s="38"/>
    </row>
    <row r="8" spans="1:13" x14ac:dyDescent="0.35">
      <c r="A8" s="38"/>
      <c r="B8">
        <v>100</v>
      </c>
      <c r="C8" t="s">
        <v>157</v>
      </c>
      <c r="D8" t="s">
        <v>55</v>
      </c>
      <c r="E8" t="s">
        <v>116</v>
      </c>
      <c r="F8" s="51">
        <v>315</v>
      </c>
      <c r="G8" s="2">
        <f t="shared" si="0"/>
        <v>330.52949999999998</v>
      </c>
      <c r="I8" s="38"/>
    </row>
    <row r="9" spans="1:13" x14ac:dyDescent="0.35">
      <c r="A9" s="38"/>
      <c r="B9">
        <v>100</v>
      </c>
      <c r="C9" t="s">
        <v>157</v>
      </c>
      <c r="D9" t="s">
        <v>56</v>
      </c>
      <c r="E9" t="s">
        <v>116</v>
      </c>
      <c r="F9" s="51">
        <v>315</v>
      </c>
      <c r="G9" s="2">
        <f t="shared" si="0"/>
        <v>330.52949999999998</v>
      </c>
      <c r="I9" s="38"/>
      <c r="J9" t="s">
        <v>148</v>
      </c>
      <c r="K9" s="53">
        <v>0.2</v>
      </c>
    </row>
    <row r="10" spans="1:13" x14ac:dyDescent="0.35">
      <c r="A10" s="38"/>
      <c r="B10">
        <v>100</v>
      </c>
      <c r="C10" t="s">
        <v>157</v>
      </c>
      <c r="D10" t="s">
        <v>57</v>
      </c>
      <c r="E10" t="s">
        <v>116</v>
      </c>
      <c r="F10" s="51">
        <v>315</v>
      </c>
      <c r="G10" s="2">
        <f t="shared" si="0"/>
        <v>330.52949999999998</v>
      </c>
      <c r="I10" s="38"/>
      <c r="J10" t="s">
        <v>79</v>
      </c>
      <c r="K10" s="54">
        <v>4.4999999999999998E-2</v>
      </c>
    </row>
    <row r="11" spans="1:13" x14ac:dyDescent="0.35">
      <c r="A11" s="38"/>
      <c r="B11">
        <v>100</v>
      </c>
      <c r="C11" t="s">
        <v>157</v>
      </c>
      <c r="D11" t="s">
        <v>58</v>
      </c>
      <c r="E11" t="s">
        <v>116</v>
      </c>
      <c r="F11" s="51">
        <v>315</v>
      </c>
      <c r="G11" s="2">
        <f t="shared" si="0"/>
        <v>330.52949999999998</v>
      </c>
      <c r="I11" s="38"/>
      <c r="J11" t="s">
        <v>149</v>
      </c>
      <c r="K11" s="53">
        <v>0.05</v>
      </c>
    </row>
    <row r="12" spans="1:13" x14ac:dyDescent="0.35">
      <c r="A12" s="38"/>
      <c r="B12">
        <v>100</v>
      </c>
      <c r="C12" t="s">
        <v>157</v>
      </c>
      <c r="D12" t="s">
        <v>125</v>
      </c>
      <c r="E12" t="s">
        <v>124</v>
      </c>
      <c r="F12" s="51">
        <v>500</v>
      </c>
      <c r="G12" s="2">
        <f>F12*($G$2)</f>
        <v>524.65</v>
      </c>
      <c r="I12" s="38"/>
    </row>
    <row r="13" spans="1:13" x14ac:dyDescent="0.35">
      <c r="A13" s="38"/>
      <c r="B13">
        <v>110</v>
      </c>
      <c r="C13" t="s">
        <v>158</v>
      </c>
      <c r="D13" t="s">
        <v>60</v>
      </c>
      <c r="E13" t="s">
        <v>116</v>
      </c>
      <c r="F13" s="51">
        <v>315</v>
      </c>
      <c r="G13" s="2">
        <f t="shared" si="0"/>
        <v>330.52949999999998</v>
      </c>
      <c r="I13" s="38"/>
    </row>
    <row r="14" spans="1:13" x14ac:dyDescent="0.35">
      <c r="A14" s="38"/>
      <c r="B14">
        <v>110</v>
      </c>
      <c r="C14" t="s">
        <v>158</v>
      </c>
      <c r="D14" t="s">
        <v>61</v>
      </c>
      <c r="E14" t="s">
        <v>116</v>
      </c>
      <c r="F14" s="51">
        <v>315</v>
      </c>
      <c r="G14" s="2">
        <f t="shared" si="0"/>
        <v>330.52949999999998</v>
      </c>
      <c r="I14" s="38"/>
      <c r="J14" t="s">
        <v>150</v>
      </c>
      <c r="K14" s="53">
        <v>0.03</v>
      </c>
    </row>
    <row r="15" spans="1:13" x14ac:dyDescent="0.35">
      <c r="A15" s="38"/>
      <c r="B15">
        <v>110</v>
      </c>
      <c r="C15" t="s">
        <v>158</v>
      </c>
      <c r="D15" t="s">
        <v>62</v>
      </c>
      <c r="E15" t="s">
        <v>116</v>
      </c>
      <c r="F15" s="51">
        <v>315</v>
      </c>
      <c r="G15" s="2">
        <f t="shared" si="0"/>
        <v>330.52949999999998</v>
      </c>
    </row>
    <row r="16" spans="1:13" x14ac:dyDescent="0.35">
      <c r="A16" s="38"/>
      <c r="B16">
        <v>110</v>
      </c>
      <c r="C16" t="s">
        <v>158</v>
      </c>
      <c r="D16" t="s">
        <v>63</v>
      </c>
      <c r="E16" t="s">
        <v>116</v>
      </c>
      <c r="F16" s="51">
        <v>315</v>
      </c>
      <c r="G16" s="2">
        <f t="shared" si="0"/>
        <v>330.52949999999998</v>
      </c>
    </row>
    <row r="17" spans="1:7" x14ac:dyDescent="0.35">
      <c r="A17" s="38"/>
      <c r="B17">
        <v>110</v>
      </c>
      <c r="C17" t="s">
        <v>158</v>
      </c>
      <c r="D17" t="s">
        <v>64</v>
      </c>
      <c r="E17" t="s">
        <v>116</v>
      </c>
      <c r="F17" s="51">
        <v>315</v>
      </c>
      <c r="G17" s="2">
        <f t="shared" si="0"/>
        <v>330.52949999999998</v>
      </c>
    </row>
    <row r="18" spans="1:7" x14ac:dyDescent="0.35">
      <c r="A18" s="38"/>
      <c r="B18">
        <v>110</v>
      </c>
      <c r="C18" t="s">
        <v>158</v>
      </c>
      <c r="D18" t="s">
        <v>65</v>
      </c>
      <c r="E18" t="s">
        <v>116</v>
      </c>
      <c r="F18" s="51">
        <v>315</v>
      </c>
      <c r="G18" s="2">
        <f t="shared" si="0"/>
        <v>330.52949999999998</v>
      </c>
    </row>
    <row r="19" spans="1:7" x14ac:dyDescent="0.35">
      <c r="A19" s="38"/>
      <c r="B19">
        <v>110</v>
      </c>
      <c r="C19" t="s">
        <v>158</v>
      </c>
      <c r="D19" t="s">
        <v>126</v>
      </c>
      <c r="E19" t="s">
        <v>124</v>
      </c>
      <c r="F19" s="51">
        <v>500</v>
      </c>
      <c r="G19" s="2">
        <f>F19*($G$2)</f>
        <v>524.65</v>
      </c>
    </row>
    <row r="20" spans="1:7" x14ac:dyDescent="0.35">
      <c r="A20" s="38"/>
      <c r="B20">
        <v>120</v>
      </c>
      <c r="C20" t="s">
        <v>159</v>
      </c>
      <c r="D20" t="s">
        <v>66</v>
      </c>
      <c r="E20" t="s">
        <v>116</v>
      </c>
      <c r="F20" s="51">
        <v>315</v>
      </c>
      <c r="G20" s="2">
        <f t="shared" si="0"/>
        <v>330.52949999999998</v>
      </c>
    </row>
    <row r="21" spans="1:7" x14ac:dyDescent="0.35">
      <c r="A21" s="38"/>
      <c r="B21">
        <v>120</v>
      </c>
      <c r="C21" t="s">
        <v>159</v>
      </c>
      <c r="D21" t="s">
        <v>67</v>
      </c>
      <c r="E21" t="s">
        <v>116</v>
      </c>
      <c r="F21" s="51">
        <v>315</v>
      </c>
      <c r="G21" s="2">
        <f t="shared" si="0"/>
        <v>330.52949999999998</v>
      </c>
    </row>
    <row r="22" spans="1:7" x14ac:dyDescent="0.35">
      <c r="A22" s="38"/>
      <c r="B22">
        <v>120</v>
      </c>
      <c r="C22" t="s">
        <v>159</v>
      </c>
      <c r="D22" t="s">
        <v>68</v>
      </c>
      <c r="E22" t="s">
        <v>116</v>
      </c>
      <c r="F22" s="51">
        <v>315</v>
      </c>
      <c r="G22" s="2">
        <f t="shared" si="0"/>
        <v>330.52949999999998</v>
      </c>
    </row>
    <row r="23" spans="1:7" x14ac:dyDescent="0.35">
      <c r="A23" s="38"/>
      <c r="B23">
        <v>120</v>
      </c>
      <c r="C23" t="s">
        <v>159</v>
      </c>
      <c r="D23" t="s">
        <v>69</v>
      </c>
      <c r="E23" t="s">
        <v>116</v>
      </c>
      <c r="F23" s="51">
        <v>315</v>
      </c>
      <c r="G23" s="2">
        <f t="shared" si="0"/>
        <v>330.52949999999998</v>
      </c>
    </row>
    <row r="24" spans="1:7" x14ac:dyDescent="0.35">
      <c r="A24" s="38"/>
      <c r="B24">
        <v>120</v>
      </c>
      <c r="C24" t="s">
        <v>159</v>
      </c>
      <c r="D24" t="s">
        <v>70</v>
      </c>
      <c r="E24" t="s">
        <v>116</v>
      </c>
      <c r="F24" s="51">
        <v>315</v>
      </c>
      <c r="G24" s="2">
        <f t="shared" si="0"/>
        <v>330.52949999999998</v>
      </c>
    </row>
    <row r="25" spans="1:7" x14ac:dyDescent="0.35">
      <c r="A25" s="38"/>
      <c r="B25">
        <v>120</v>
      </c>
      <c r="C25" t="s">
        <v>159</v>
      </c>
      <c r="D25" t="s">
        <v>71</v>
      </c>
      <c r="E25" t="s">
        <v>116</v>
      </c>
      <c r="F25" s="51">
        <v>315</v>
      </c>
      <c r="G25" s="2">
        <f t="shared" si="0"/>
        <v>330.52949999999998</v>
      </c>
    </row>
    <row r="26" spans="1:7" x14ac:dyDescent="0.35">
      <c r="A26" s="38"/>
      <c r="B26">
        <v>120</v>
      </c>
      <c r="C26" t="s">
        <v>159</v>
      </c>
      <c r="D26" t="s">
        <v>127</v>
      </c>
      <c r="E26" t="s">
        <v>124</v>
      </c>
      <c r="F26" s="51">
        <v>500</v>
      </c>
      <c r="G26" s="2">
        <f>F26*($G$2)</f>
        <v>524.65</v>
      </c>
    </row>
    <row r="27" spans="1:7" x14ac:dyDescent="0.35">
      <c r="A27" s="38"/>
    </row>
    <row r="28" spans="1:7" x14ac:dyDescent="0.35">
      <c r="A28" s="38"/>
      <c r="B28">
        <v>150</v>
      </c>
      <c r="C28" t="s">
        <v>152</v>
      </c>
      <c r="D28" t="s">
        <v>154</v>
      </c>
      <c r="E28" t="s">
        <v>124</v>
      </c>
      <c r="F28" s="51">
        <v>700</v>
      </c>
      <c r="G28" s="2">
        <f t="shared" si="0"/>
        <v>734.50999999999988</v>
      </c>
    </row>
    <row r="29" spans="1:7" x14ac:dyDescent="0.35">
      <c r="A29" s="38"/>
      <c r="B29">
        <v>160</v>
      </c>
      <c r="C29" t="s">
        <v>153</v>
      </c>
      <c r="D29" t="s">
        <v>155</v>
      </c>
      <c r="E29" t="s">
        <v>124</v>
      </c>
      <c r="F29" s="51">
        <v>700</v>
      </c>
      <c r="G29" s="2">
        <f t="shared" si="0"/>
        <v>734.50999999999988</v>
      </c>
    </row>
    <row r="30" spans="1:7" x14ac:dyDescent="0.35">
      <c r="A30" s="38"/>
      <c r="B30">
        <v>170</v>
      </c>
      <c r="C30" t="s">
        <v>151</v>
      </c>
      <c r="D30" t="s">
        <v>156</v>
      </c>
      <c r="E30" t="s">
        <v>124</v>
      </c>
      <c r="F30" s="51">
        <v>700</v>
      </c>
      <c r="G30" s="2">
        <f t="shared" si="0"/>
        <v>734.50999999999988</v>
      </c>
    </row>
    <row r="31" spans="1:7" x14ac:dyDescent="0.35">
      <c r="A31" s="38"/>
    </row>
    <row r="32" spans="1:7" x14ac:dyDescent="0.35">
      <c r="A32" s="38"/>
    </row>
    <row r="33" spans="1:7" x14ac:dyDescent="0.35">
      <c r="A33" s="38"/>
    </row>
    <row r="34" spans="1:7" x14ac:dyDescent="0.35">
      <c r="A34" s="38"/>
      <c r="B34">
        <v>200</v>
      </c>
      <c r="C34" t="s">
        <v>133</v>
      </c>
      <c r="D34" t="s">
        <v>115</v>
      </c>
      <c r="E34" t="s">
        <v>117</v>
      </c>
      <c r="F34" s="51">
        <v>1000</v>
      </c>
      <c r="G34" s="2">
        <f t="shared" si="0"/>
        <v>1049.3</v>
      </c>
    </row>
    <row r="35" spans="1:7" x14ac:dyDescent="0.35">
      <c r="A35" s="38"/>
      <c r="B35">
        <v>210</v>
      </c>
      <c r="C35" t="s">
        <v>134</v>
      </c>
      <c r="D35" t="s">
        <v>121</v>
      </c>
      <c r="E35" t="s">
        <v>118</v>
      </c>
      <c r="F35" s="51">
        <v>800</v>
      </c>
      <c r="G35" s="2">
        <f t="shared" si="0"/>
        <v>839.43999999999994</v>
      </c>
    </row>
    <row r="36" spans="1:7" x14ac:dyDescent="0.35">
      <c r="A36" s="38"/>
      <c r="B36">
        <v>220</v>
      </c>
      <c r="C36" t="s">
        <v>119</v>
      </c>
      <c r="D36" t="s">
        <v>120</v>
      </c>
      <c r="E36" t="s">
        <v>135</v>
      </c>
      <c r="F36" s="51">
        <v>800</v>
      </c>
      <c r="G36" s="2">
        <f t="shared" si="0"/>
        <v>839.43999999999994</v>
      </c>
    </row>
    <row r="37" spans="1:7" x14ac:dyDescent="0.35">
      <c r="A37" s="38"/>
    </row>
    <row r="38" spans="1:7" x14ac:dyDescent="0.35">
      <c r="A38" s="38"/>
      <c r="B38">
        <v>300</v>
      </c>
      <c r="C38" t="s">
        <v>136</v>
      </c>
      <c r="D38" t="s">
        <v>128</v>
      </c>
      <c r="E38" t="s">
        <v>122</v>
      </c>
      <c r="F38" s="51">
        <v>900</v>
      </c>
      <c r="G38" s="2">
        <f t="shared" si="0"/>
        <v>944.36999999999989</v>
      </c>
    </row>
    <row r="39" spans="1:7" x14ac:dyDescent="0.35">
      <c r="A39" s="38"/>
      <c r="B39">
        <v>310</v>
      </c>
      <c r="C39" t="s">
        <v>137</v>
      </c>
      <c r="D39" t="s">
        <v>129</v>
      </c>
      <c r="E39" t="s">
        <v>132</v>
      </c>
      <c r="F39" s="51">
        <v>600</v>
      </c>
      <c r="G39" s="2">
        <f t="shared" si="0"/>
        <v>629.57999999999993</v>
      </c>
    </row>
    <row r="40" spans="1:7" x14ac:dyDescent="0.35">
      <c r="A40" s="38"/>
      <c r="B40">
        <v>320</v>
      </c>
      <c r="C40" t="s">
        <v>138</v>
      </c>
      <c r="D40" t="s">
        <v>130</v>
      </c>
      <c r="E40" t="s">
        <v>131</v>
      </c>
      <c r="F40" s="51">
        <v>550</v>
      </c>
      <c r="G40" s="2">
        <f t="shared" si="0"/>
        <v>577.1149999999999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FFD0B-5D48-4DFD-AD28-25EF8C003684}">
  <dimension ref="A3:J80"/>
  <sheetViews>
    <sheetView workbookViewId="0">
      <selection activeCell="C4" sqref="C4:D6"/>
    </sheetView>
  </sheetViews>
  <sheetFormatPr baseColWidth="10" defaultRowHeight="14.5" x14ac:dyDescent="0.35"/>
  <cols>
    <col min="1" max="1" width="2.81640625" customWidth="1"/>
    <col min="2" max="2" width="12.81640625" bestFit="1" customWidth="1"/>
    <col min="4" max="4" width="25.08984375" customWidth="1"/>
    <col min="6" max="6" width="2" customWidth="1"/>
    <col min="8" max="8" width="25.7265625" bestFit="1" customWidth="1"/>
  </cols>
  <sheetData>
    <row r="3" spans="1:10" x14ac:dyDescent="0.35">
      <c r="A3" s="38"/>
      <c r="B3" s="38"/>
      <c r="C3" s="1" t="s">
        <v>46</v>
      </c>
      <c r="D3" t="s">
        <v>59</v>
      </c>
      <c r="F3" s="38"/>
      <c r="G3" s="6" t="s">
        <v>72</v>
      </c>
      <c r="H3" s="6"/>
      <c r="I3" s="6"/>
      <c r="J3" s="6"/>
    </row>
    <row r="4" spans="1:10" x14ac:dyDescent="0.35">
      <c r="A4" s="38"/>
      <c r="B4" s="38" t="s">
        <v>253</v>
      </c>
      <c r="C4" s="52">
        <v>100</v>
      </c>
      <c r="D4" s="52" t="s">
        <v>157</v>
      </c>
      <c r="F4" s="38"/>
      <c r="G4" s="52">
        <v>1001001</v>
      </c>
      <c r="H4" s="52" t="s">
        <v>73</v>
      </c>
    </row>
    <row r="5" spans="1:10" x14ac:dyDescent="0.35">
      <c r="A5" s="38"/>
      <c r="B5" s="38" t="s">
        <v>253</v>
      </c>
      <c r="C5" s="52">
        <v>110</v>
      </c>
      <c r="D5" s="52" t="s">
        <v>158</v>
      </c>
      <c r="F5" s="38"/>
      <c r="G5" s="52">
        <v>1001002</v>
      </c>
      <c r="H5" s="52" t="s">
        <v>74</v>
      </c>
    </row>
    <row r="6" spans="1:10" x14ac:dyDescent="0.35">
      <c r="A6" s="38"/>
      <c r="B6" s="38" t="s">
        <v>253</v>
      </c>
      <c r="C6" s="52">
        <v>120</v>
      </c>
      <c r="D6" s="52" t="s">
        <v>159</v>
      </c>
      <c r="F6" s="38"/>
      <c r="G6" s="52">
        <v>1001003</v>
      </c>
      <c r="H6" s="52" t="s">
        <v>77</v>
      </c>
    </row>
    <row r="7" spans="1:10" x14ac:dyDescent="0.35">
      <c r="A7" s="38"/>
      <c r="B7" s="38" t="s">
        <v>254</v>
      </c>
      <c r="C7" s="52">
        <v>150</v>
      </c>
      <c r="D7" s="52" t="s">
        <v>152</v>
      </c>
      <c r="F7" s="38"/>
      <c r="G7" s="52">
        <v>1001004</v>
      </c>
      <c r="H7" s="52" t="s">
        <v>75</v>
      </c>
    </row>
    <row r="8" spans="1:10" x14ac:dyDescent="0.35">
      <c r="A8" s="38"/>
      <c r="B8" s="38" t="s">
        <v>254</v>
      </c>
      <c r="C8" s="52">
        <v>160</v>
      </c>
      <c r="D8" s="52" t="s">
        <v>153</v>
      </c>
      <c r="F8" s="38"/>
      <c r="G8" s="52">
        <v>1001005</v>
      </c>
      <c r="H8" s="52" t="s">
        <v>76</v>
      </c>
    </row>
    <row r="9" spans="1:10" x14ac:dyDescent="0.35">
      <c r="A9" s="38"/>
      <c r="B9" s="38" t="s">
        <v>254</v>
      </c>
      <c r="C9" s="52">
        <v>170</v>
      </c>
      <c r="D9" s="52" t="s">
        <v>151</v>
      </c>
      <c r="F9" s="38"/>
      <c r="G9" s="52">
        <v>1001006</v>
      </c>
      <c r="H9" s="52" t="s">
        <v>78</v>
      </c>
    </row>
    <row r="10" spans="1:10" x14ac:dyDescent="0.35">
      <c r="A10" s="38"/>
      <c r="B10" s="38"/>
      <c r="F10" s="38"/>
      <c r="G10" s="52">
        <v>1001007</v>
      </c>
      <c r="H10" s="52" t="s">
        <v>79</v>
      </c>
    </row>
    <row r="11" spans="1:10" x14ac:dyDescent="0.35">
      <c r="A11" s="38"/>
      <c r="B11" s="38" t="s">
        <v>255</v>
      </c>
      <c r="C11" s="52">
        <v>200</v>
      </c>
      <c r="D11" s="52" t="s">
        <v>133</v>
      </c>
      <c r="F11" s="38"/>
      <c r="G11" s="52">
        <v>1001008</v>
      </c>
      <c r="H11" s="52" t="s">
        <v>81</v>
      </c>
    </row>
    <row r="12" spans="1:10" x14ac:dyDescent="0.35">
      <c r="A12" s="38"/>
      <c r="B12" s="38" t="s">
        <v>255</v>
      </c>
      <c r="C12" s="52">
        <v>210</v>
      </c>
      <c r="D12" s="52" t="s">
        <v>134</v>
      </c>
      <c r="F12" s="38"/>
      <c r="G12" s="52">
        <v>1001009</v>
      </c>
      <c r="H12" s="52" t="s">
        <v>80</v>
      </c>
    </row>
    <row r="13" spans="1:10" x14ac:dyDescent="0.35">
      <c r="A13" s="38"/>
      <c r="B13" s="38" t="s">
        <v>255</v>
      </c>
      <c r="C13" s="52">
        <v>220</v>
      </c>
      <c r="D13" s="52" t="s">
        <v>119</v>
      </c>
      <c r="F13" s="38"/>
      <c r="G13" s="52">
        <v>1002001</v>
      </c>
      <c r="H13" s="52" t="s">
        <v>83</v>
      </c>
    </row>
    <row r="14" spans="1:10" x14ac:dyDescent="0.35">
      <c r="A14" s="38"/>
      <c r="B14" s="38"/>
      <c r="F14" s="38"/>
      <c r="G14" s="52">
        <v>1002002</v>
      </c>
      <c r="H14" s="52" t="s">
        <v>84</v>
      </c>
    </row>
    <row r="15" spans="1:10" x14ac:dyDescent="0.35">
      <c r="A15" s="38"/>
      <c r="B15" s="38" t="s">
        <v>194</v>
      </c>
      <c r="C15" s="52">
        <v>300</v>
      </c>
      <c r="D15" s="52" t="s">
        <v>136</v>
      </c>
      <c r="F15" s="38"/>
      <c r="G15" s="52">
        <v>1002003</v>
      </c>
      <c r="H15" s="52" t="s">
        <v>85</v>
      </c>
    </row>
    <row r="16" spans="1:10" x14ac:dyDescent="0.35">
      <c r="A16" s="38"/>
      <c r="B16" s="38" t="s">
        <v>194</v>
      </c>
      <c r="C16" s="52">
        <v>310</v>
      </c>
      <c r="D16" s="52" t="s">
        <v>137</v>
      </c>
      <c r="F16" s="38"/>
      <c r="G16" s="52">
        <v>1002004</v>
      </c>
      <c r="H16" s="52" t="s">
        <v>86</v>
      </c>
    </row>
    <row r="17" spans="1:8" x14ac:dyDescent="0.35">
      <c r="A17" s="38"/>
      <c r="B17" s="38" t="s">
        <v>194</v>
      </c>
      <c r="C17" s="52">
        <v>320</v>
      </c>
      <c r="D17" s="52" t="s">
        <v>138</v>
      </c>
      <c r="F17" s="38"/>
      <c r="G17" s="52">
        <v>1002005</v>
      </c>
      <c r="H17" s="52" t="s">
        <v>87</v>
      </c>
    </row>
    <row r="18" spans="1:8" x14ac:dyDescent="0.35">
      <c r="F18" s="38"/>
      <c r="G18" s="52">
        <v>1002006</v>
      </c>
      <c r="H18" s="52" t="s">
        <v>88</v>
      </c>
    </row>
    <row r="19" spans="1:8" x14ac:dyDescent="0.35">
      <c r="F19" s="38"/>
      <c r="G19" s="52">
        <v>1003001</v>
      </c>
      <c r="H19" s="52" t="s">
        <v>82</v>
      </c>
    </row>
    <row r="20" spans="1:8" x14ac:dyDescent="0.35">
      <c r="F20" s="38"/>
      <c r="G20" s="52">
        <v>1003002</v>
      </c>
      <c r="H20" s="52" t="s">
        <v>74</v>
      </c>
    </row>
    <row r="21" spans="1:8" x14ac:dyDescent="0.35">
      <c r="F21" s="38"/>
      <c r="G21" s="52">
        <v>1003003</v>
      </c>
      <c r="H21" s="52" t="s">
        <v>77</v>
      </c>
    </row>
    <row r="22" spans="1:8" x14ac:dyDescent="0.35">
      <c r="F22" s="38"/>
      <c r="G22" s="52">
        <v>1003004</v>
      </c>
      <c r="H22" s="52" t="s">
        <v>75</v>
      </c>
    </row>
    <row r="23" spans="1:8" x14ac:dyDescent="0.35">
      <c r="F23" s="38"/>
      <c r="G23" s="52">
        <v>1003005</v>
      </c>
      <c r="H23" s="52" t="s">
        <v>76</v>
      </c>
    </row>
    <row r="24" spans="1:8" x14ac:dyDescent="0.35">
      <c r="F24" s="38"/>
      <c r="G24" s="52">
        <v>1003006</v>
      </c>
      <c r="H24" s="52" t="s">
        <v>78</v>
      </c>
    </row>
    <row r="25" spans="1:8" x14ac:dyDescent="0.35">
      <c r="F25" s="38"/>
      <c r="G25" s="52">
        <v>1003007</v>
      </c>
      <c r="H25" s="52" t="s">
        <v>79</v>
      </c>
    </row>
    <row r="26" spans="1:8" x14ac:dyDescent="0.35">
      <c r="F26" s="38"/>
      <c r="G26" s="52">
        <v>1003008</v>
      </c>
      <c r="H26" s="52" t="s">
        <v>81</v>
      </c>
    </row>
    <row r="27" spans="1:8" x14ac:dyDescent="0.35">
      <c r="F27" s="38"/>
      <c r="G27" s="52">
        <v>1003009</v>
      </c>
      <c r="H27" s="52" t="s">
        <v>80</v>
      </c>
    </row>
    <row r="28" spans="1:8" x14ac:dyDescent="0.35">
      <c r="F28" s="38"/>
      <c r="G28" s="52">
        <v>1003101</v>
      </c>
      <c r="H28" s="52" t="s">
        <v>89</v>
      </c>
    </row>
    <row r="29" spans="1:8" x14ac:dyDescent="0.35">
      <c r="F29" s="38"/>
      <c r="G29" s="52">
        <v>1003102</v>
      </c>
      <c r="H29" s="52" t="s">
        <v>90</v>
      </c>
    </row>
    <row r="30" spans="1:8" x14ac:dyDescent="0.35">
      <c r="F30" s="38"/>
      <c r="G30" s="52">
        <v>1003103</v>
      </c>
      <c r="H30" s="52" t="s">
        <v>91</v>
      </c>
    </row>
    <row r="31" spans="1:8" x14ac:dyDescent="0.35">
      <c r="F31" s="38"/>
      <c r="G31" s="52">
        <v>1003104</v>
      </c>
      <c r="H31" s="52" t="s">
        <v>92</v>
      </c>
    </row>
    <row r="33" spans="6:10" x14ac:dyDescent="0.35">
      <c r="F33" s="38"/>
      <c r="G33" s="6" t="s">
        <v>140</v>
      </c>
      <c r="H33" s="6"/>
      <c r="I33" s="6"/>
      <c r="J33" s="6" t="s">
        <v>139</v>
      </c>
    </row>
    <row r="34" spans="6:10" x14ac:dyDescent="0.35">
      <c r="F34" s="38"/>
      <c r="G34">
        <v>1003101</v>
      </c>
      <c r="H34" t="s">
        <v>89</v>
      </c>
      <c r="J34" s="2">
        <v>75000</v>
      </c>
    </row>
    <row r="35" spans="6:10" x14ac:dyDescent="0.35">
      <c r="F35" s="38"/>
      <c r="G35">
        <v>100</v>
      </c>
      <c r="H35" t="s">
        <v>157</v>
      </c>
      <c r="I35" s="8">
        <v>0.2</v>
      </c>
      <c r="J35" s="5">
        <f>I35*$J$34</f>
        <v>15000</v>
      </c>
    </row>
    <row r="36" spans="6:10" x14ac:dyDescent="0.35">
      <c r="F36" s="38"/>
      <c r="G36">
        <v>110</v>
      </c>
      <c r="H36" t="s">
        <v>158</v>
      </c>
      <c r="I36" s="8">
        <v>0.2</v>
      </c>
      <c r="J36" s="5">
        <f t="shared" ref="J36:J43" si="0">I36*$J$34</f>
        <v>15000</v>
      </c>
    </row>
    <row r="37" spans="6:10" x14ac:dyDescent="0.35">
      <c r="F37" s="38"/>
      <c r="G37">
        <v>120</v>
      </c>
      <c r="H37" t="s">
        <v>159</v>
      </c>
      <c r="I37" s="8">
        <v>0.2</v>
      </c>
      <c r="J37" s="5">
        <f t="shared" si="0"/>
        <v>15000</v>
      </c>
    </row>
    <row r="38" spans="6:10" x14ac:dyDescent="0.35">
      <c r="F38" s="38"/>
      <c r="G38">
        <v>200</v>
      </c>
      <c r="H38" t="s">
        <v>133</v>
      </c>
      <c r="I38" s="8">
        <v>0.05</v>
      </c>
      <c r="J38" s="5">
        <f t="shared" si="0"/>
        <v>3750</v>
      </c>
    </row>
    <row r="39" spans="6:10" x14ac:dyDescent="0.35">
      <c r="F39" s="38"/>
      <c r="G39">
        <v>210</v>
      </c>
      <c r="H39" t="s">
        <v>134</v>
      </c>
      <c r="I39" s="8">
        <v>0.1</v>
      </c>
      <c r="J39" s="5">
        <f t="shared" si="0"/>
        <v>7500</v>
      </c>
    </row>
    <row r="40" spans="6:10" x14ac:dyDescent="0.35">
      <c r="F40" s="38"/>
      <c r="G40">
        <v>220</v>
      </c>
      <c r="H40" t="s">
        <v>119</v>
      </c>
      <c r="I40" s="8">
        <v>0.1</v>
      </c>
      <c r="J40" s="5">
        <f t="shared" si="0"/>
        <v>7500</v>
      </c>
    </row>
    <row r="41" spans="6:10" x14ac:dyDescent="0.35">
      <c r="F41" s="38"/>
      <c r="G41">
        <v>300</v>
      </c>
      <c r="H41" t="s">
        <v>136</v>
      </c>
      <c r="I41" s="8">
        <v>0.05</v>
      </c>
      <c r="J41" s="5">
        <f t="shared" si="0"/>
        <v>3750</v>
      </c>
    </row>
    <row r="42" spans="6:10" x14ac:dyDescent="0.35">
      <c r="F42" s="38"/>
      <c r="G42">
        <v>310</v>
      </c>
      <c r="H42" t="s">
        <v>137</v>
      </c>
      <c r="I42" s="8">
        <v>0.05</v>
      </c>
      <c r="J42" s="5">
        <f t="shared" si="0"/>
        <v>3750</v>
      </c>
    </row>
    <row r="43" spans="6:10" x14ac:dyDescent="0.35">
      <c r="F43" s="38"/>
      <c r="G43">
        <v>320</v>
      </c>
      <c r="H43" t="s">
        <v>138</v>
      </c>
      <c r="I43" s="8">
        <v>0.05</v>
      </c>
      <c r="J43" s="5">
        <f t="shared" si="0"/>
        <v>3750</v>
      </c>
    </row>
    <row r="44" spans="6:10" x14ac:dyDescent="0.35">
      <c r="F44" s="38"/>
      <c r="I44" s="8">
        <f>SUM(I35:I43)</f>
        <v>1.0000000000000002</v>
      </c>
    </row>
    <row r="45" spans="6:10" x14ac:dyDescent="0.35">
      <c r="F45" s="38"/>
      <c r="I45" s="2"/>
    </row>
    <row r="46" spans="6:10" x14ac:dyDescent="0.35">
      <c r="F46" s="38"/>
      <c r="G46">
        <v>1003102</v>
      </c>
      <c r="H46" t="s">
        <v>90</v>
      </c>
      <c r="J46" s="2">
        <v>5000</v>
      </c>
    </row>
    <row r="47" spans="6:10" x14ac:dyDescent="0.35">
      <c r="F47" s="38"/>
      <c r="G47">
        <v>100</v>
      </c>
      <c r="H47" t="s">
        <v>157</v>
      </c>
      <c r="I47" s="8">
        <v>0.05</v>
      </c>
      <c r="J47" s="5">
        <f>I47*$J$46</f>
        <v>250</v>
      </c>
    </row>
    <row r="48" spans="6:10" x14ac:dyDescent="0.35">
      <c r="F48" s="38"/>
      <c r="G48">
        <v>110</v>
      </c>
      <c r="H48" t="s">
        <v>158</v>
      </c>
      <c r="I48" s="8">
        <v>0.05</v>
      </c>
      <c r="J48" s="5">
        <f t="shared" ref="J48:J55" si="1">I48*$J$46</f>
        <v>250</v>
      </c>
    </row>
    <row r="49" spans="6:10" x14ac:dyDescent="0.35">
      <c r="F49" s="38"/>
      <c r="G49">
        <v>120</v>
      </c>
      <c r="H49" t="s">
        <v>159</v>
      </c>
      <c r="I49" s="8">
        <v>0.05</v>
      </c>
      <c r="J49" s="5">
        <f t="shared" si="1"/>
        <v>250</v>
      </c>
    </row>
    <row r="50" spans="6:10" x14ac:dyDescent="0.35">
      <c r="F50" s="38"/>
      <c r="G50">
        <v>200</v>
      </c>
      <c r="H50" t="s">
        <v>133</v>
      </c>
      <c r="I50" s="8">
        <v>0.2</v>
      </c>
      <c r="J50" s="5">
        <f t="shared" si="1"/>
        <v>1000</v>
      </c>
    </row>
    <row r="51" spans="6:10" x14ac:dyDescent="0.35">
      <c r="F51" s="38"/>
      <c r="G51">
        <v>210</v>
      </c>
      <c r="H51" t="s">
        <v>134</v>
      </c>
      <c r="I51" s="8">
        <v>0.25</v>
      </c>
      <c r="J51" s="5">
        <f t="shared" si="1"/>
        <v>1250</v>
      </c>
    </row>
    <row r="52" spans="6:10" x14ac:dyDescent="0.35">
      <c r="F52" s="38"/>
      <c r="G52">
        <v>220</v>
      </c>
      <c r="H52" t="s">
        <v>119</v>
      </c>
      <c r="I52" s="8">
        <v>0.1</v>
      </c>
      <c r="J52" s="5">
        <f t="shared" si="1"/>
        <v>500</v>
      </c>
    </row>
    <row r="53" spans="6:10" x14ac:dyDescent="0.35">
      <c r="F53" s="38"/>
      <c r="G53">
        <v>300</v>
      </c>
      <c r="H53" t="s">
        <v>136</v>
      </c>
      <c r="I53" s="8">
        <v>0.1</v>
      </c>
      <c r="J53" s="5">
        <f t="shared" si="1"/>
        <v>500</v>
      </c>
    </row>
    <row r="54" spans="6:10" x14ac:dyDescent="0.35">
      <c r="F54" s="38"/>
      <c r="G54">
        <v>310</v>
      </c>
      <c r="H54" t="s">
        <v>137</v>
      </c>
      <c r="I54" s="8">
        <v>0.1</v>
      </c>
      <c r="J54" s="5">
        <f t="shared" si="1"/>
        <v>500</v>
      </c>
    </row>
    <row r="55" spans="6:10" x14ac:dyDescent="0.35">
      <c r="F55" s="38"/>
      <c r="G55">
        <v>320</v>
      </c>
      <c r="H55" t="s">
        <v>138</v>
      </c>
      <c r="I55" s="8">
        <v>0.1</v>
      </c>
      <c r="J55" s="5">
        <f t="shared" si="1"/>
        <v>500</v>
      </c>
    </row>
    <row r="56" spans="6:10" x14ac:dyDescent="0.35">
      <c r="F56" s="38"/>
      <c r="I56" s="8">
        <f>SUM(I47:I55)</f>
        <v>1</v>
      </c>
    </row>
    <row r="57" spans="6:10" x14ac:dyDescent="0.35">
      <c r="F57" s="38"/>
    </row>
    <row r="58" spans="6:10" x14ac:dyDescent="0.35">
      <c r="F58" s="38"/>
      <c r="G58">
        <v>1003103</v>
      </c>
      <c r="H58" t="s">
        <v>91</v>
      </c>
      <c r="J58" s="2">
        <v>3500</v>
      </c>
    </row>
    <row r="59" spans="6:10" x14ac:dyDescent="0.35">
      <c r="F59" s="38"/>
      <c r="G59">
        <v>100</v>
      </c>
      <c r="H59" t="s">
        <v>157</v>
      </c>
      <c r="I59" s="8">
        <v>0.05</v>
      </c>
      <c r="J59" s="5">
        <f>I59*$J$58</f>
        <v>175</v>
      </c>
    </row>
    <row r="60" spans="6:10" x14ac:dyDescent="0.35">
      <c r="F60" s="38"/>
      <c r="G60">
        <v>110</v>
      </c>
      <c r="H60" t="s">
        <v>158</v>
      </c>
      <c r="I60" s="8">
        <v>0.05</v>
      </c>
      <c r="J60" s="5">
        <f t="shared" ref="J60:J67" si="2">I60*$J$58</f>
        <v>175</v>
      </c>
    </row>
    <row r="61" spans="6:10" x14ac:dyDescent="0.35">
      <c r="F61" s="38"/>
      <c r="G61">
        <v>120</v>
      </c>
      <c r="H61" t="s">
        <v>159</v>
      </c>
      <c r="I61" s="8">
        <v>0.05</v>
      </c>
      <c r="J61" s="5">
        <f t="shared" si="2"/>
        <v>175</v>
      </c>
    </row>
    <row r="62" spans="6:10" x14ac:dyDescent="0.35">
      <c r="F62" s="38"/>
      <c r="G62">
        <v>200</v>
      </c>
      <c r="H62" t="s">
        <v>133</v>
      </c>
      <c r="I62" s="8">
        <v>0.2</v>
      </c>
      <c r="J62" s="5">
        <f t="shared" si="2"/>
        <v>700</v>
      </c>
    </row>
    <row r="63" spans="6:10" x14ac:dyDescent="0.35">
      <c r="F63" s="38"/>
      <c r="G63">
        <v>210</v>
      </c>
      <c r="H63" t="s">
        <v>134</v>
      </c>
      <c r="I63" s="8">
        <v>0.25</v>
      </c>
      <c r="J63" s="5">
        <f t="shared" si="2"/>
        <v>875</v>
      </c>
    </row>
    <row r="64" spans="6:10" x14ac:dyDescent="0.35">
      <c r="F64" s="38"/>
      <c r="G64">
        <v>220</v>
      </c>
      <c r="H64" t="s">
        <v>119</v>
      </c>
      <c r="I64" s="8">
        <v>0.1</v>
      </c>
      <c r="J64" s="5">
        <f t="shared" si="2"/>
        <v>350</v>
      </c>
    </row>
    <row r="65" spans="6:10" x14ac:dyDescent="0.35">
      <c r="F65" s="38"/>
      <c r="G65">
        <v>300</v>
      </c>
      <c r="H65" t="s">
        <v>136</v>
      </c>
      <c r="I65" s="8">
        <v>0.1</v>
      </c>
      <c r="J65" s="5">
        <f t="shared" si="2"/>
        <v>350</v>
      </c>
    </row>
    <row r="66" spans="6:10" x14ac:dyDescent="0.35">
      <c r="F66" s="38"/>
      <c r="G66">
        <v>310</v>
      </c>
      <c r="H66" t="s">
        <v>137</v>
      </c>
      <c r="I66" s="8">
        <v>0.1</v>
      </c>
      <c r="J66" s="5">
        <f t="shared" si="2"/>
        <v>350</v>
      </c>
    </row>
    <row r="67" spans="6:10" x14ac:dyDescent="0.35">
      <c r="F67" s="38"/>
      <c r="G67">
        <v>320</v>
      </c>
      <c r="H67" t="s">
        <v>138</v>
      </c>
      <c r="I67" s="8">
        <v>0.1</v>
      </c>
      <c r="J67" s="5">
        <f t="shared" si="2"/>
        <v>350</v>
      </c>
    </row>
    <row r="68" spans="6:10" x14ac:dyDescent="0.35">
      <c r="F68" s="38"/>
      <c r="I68" s="8">
        <f>SUM(I59:I67)</f>
        <v>1</v>
      </c>
    </row>
    <row r="69" spans="6:10" x14ac:dyDescent="0.35">
      <c r="F69" s="38"/>
    </row>
    <row r="70" spans="6:10" x14ac:dyDescent="0.35">
      <c r="F70" s="38"/>
      <c r="G70">
        <v>1003104</v>
      </c>
      <c r="H70" t="s">
        <v>92</v>
      </c>
      <c r="J70" s="2">
        <v>6000</v>
      </c>
    </row>
    <row r="71" spans="6:10" x14ac:dyDescent="0.35">
      <c r="F71" s="38"/>
      <c r="G71">
        <v>100</v>
      </c>
      <c r="H71" t="s">
        <v>157</v>
      </c>
      <c r="I71" s="8">
        <v>0.2</v>
      </c>
      <c r="J71" s="5">
        <f>I71*$J$70</f>
        <v>1200</v>
      </c>
    </row>
    <row r="72" spans="6:10" x14ac:dyDescent="0.35">
      <c r="F72" s="38"/>
      <c r="G72">
        <v>110</v>
      </c>
      <c r="H72" t="s">
        <v>158</v>
      </c>
      <c r="I72" s="8">
        <v>0.2</v>
      </c>
      <c r="J72" s="5">
        <f t="shared" ref="J72:J79" si="3">I72*$J$70</f>
        <v>1200</v>
      </c>
    </row>
    <row r="73" spans="6:10" x14ac:dyDescent="0.35">
      <c r="F73" s="38"/>
      <c r="G73">
        <v>120</v>
      </c>
      <c r="H73" t="s">
        <v>159</v>
      </c>
      <c r="I73" s="8">
        <v>0.2</v>
      </c>
      <c r="J73" s="5">
        <f t="shared" si="3"/>
        <v>1200</v>
      </c>
    </row>
    <row r="74" spans="6:10" x14ac:dyDescent="0.35">
      <c r="F74" s="38"/>
      <c r="G74">
        <v>200</v>
      </c>
      <c r="H74" t="s">
        <v>133</v>
      </c>
      <c r="I74" s="8">
        <v>0.05</v>
      </c>
      <c r="J74" s="5">
        <f t="shared" si="3"/>
        <v>300</v>
      </c>
    </row>
    <row r="75" spans="6:10" x14ac:dyDescent="0.35">
      <c r="F75" s="38"/>
      <c r="G75">
        <v>210</v>
      </c>
      <c r="H75" t="s">
        <v>134</v>
      </c>
      <c r="I75" s="8">
        <v>0.1</v>
      </c>
      <c r="J75" s="5">
        <f t="shared" si="3"/>
        <v>600</v>
      </c>
    </row>
    <row r="76" spans="6:10" x14ac:dyDescent="0.35">
      <c r="F76" s="38"/>
      <c r="G76">
        <v>220</v>
      </c>
      <c r="H76" t="s">
        <v>119</v>
      </c>
      <c r="I76" s="8">
        <v>0.1</v>
      </c>
      <c r="J76" s="5">
        <f t="shared" si="3"/>
        <v>600</v>
      </c>
    </row>
    <row r="77" spans="6:10" x14ac:dyDescent="0.35">
      <c r="F77" s="38"/>
      <c r="G77">
        <v>300</v>
      </c>
      <c r="H77" t="s">
        <v>136</v>
      </c>
      <c r="I77" s="8">
        <v>0.05</v>
      </c>
      <c r="J77" s="5">
        <f t="shared" si="3"/>
        <v>300</v>
      </c>
    </row>
    <row r="78" spans="6:10" x14ac:dyDescent="0.35">
      <c r="F78" s="38"/>
      <c r="G78">
        <v>310</v>
      </c>
      <c r="H78" t="s">
        <v>137</v>
      </c>
      <c r="I78" s="8">
        <v>0.05</v>
      </c>
      <c r="J78" s="5">
        <f t="shared" si="3"/>
        <v>300</v>
      </c>
    </row>
    <row r="79" spans="6:10" x14ac:dyDescent="0.35">
      <c r="F79" s="38"/>
      <c r="G79">
        <v>320</v>
      </c>
      <c r="H79" t="s">
        <v>138</v>
      </c>
      <c r="I79" s="8">
        <v>0.05</v>
      </c>
      <c r="J79" s="5">
        <f t="shared" si="3"/>
        <v>300</v>
      </c>
    </row>
    <row r="80" spans="6:10" x14ac:dyDescent="0.35">
      <c r="F80" s="38"/>
      <c r="I80" s="8">
        <f>SUM(I71:I79)</f>
        <v>1.0000000000000002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89256-D2FE-493A-A038-A1021A7FB0BA}">
  <dimension ref="A2:T343"/>
  <sheetViews>
    <sheetView topLeftCell="B327" workbookViewId="0">
      <selection activeCell="H340" sqref="H340"/>
    </sheetView>
  </sheetViews>
  <sheetFormatPr baseColWidth="10" defaultRowHeight="14.5" x14ac:dyDescent="0.35"/>
  <cols>
    <col min="1" max="1" width="1.7265625" customWidth="1"/>
    <col min="2" max="2" width="5.36328125" customWidth="1"/>
    <col min="3" max="3" width="21.7265625" bestFit="1" customWidth="1"/>
    <col min="4" max="4" width="22.08984375" bestFit="1" customWidth="1"/>
    <col min="5" max="5" width="11.36328125" customWidth="1"/>
    <col min="6" max="6" width="17.6328125" customWidth="1"/>
    <col min="7" max="7" width="11.08984375" bestFit="1" customWidth="1"/>
    <col min="19" max="19" width="12.81640625" customWidth="1"/>
  </cols>
  <sheetData>
    <row r="2" spans="2:19" x14ac:dyDescent="0.35">
      <c r="G2">
        <v>31</v>
      </c>
      <c r="H2">
        <v>28</v>
      </c>
      <c r="I2">
        <v>31</v>
      </c>
      <c r="J2">
        <v>30</v>
      </c>
      <c r="K2">
        <v>31</v>
      </c>
      <c r="L2">
        <v>30</v>
      </c>
      <c r="M2">
        <v>31</v>
      </c>
      <c r="N2">
        <v>31</v>
      </c>
      <c r="O2">
        <v>30</v>
      </c>
      <c r="P2">
        <v>31</v>
      </c>
      <c r="Q2">
        <v>30</v>
      </c>
      <c r="R2">
        <v>31</v>
      </c>
    </row>
    <row r="3" spans="2:19" x14ac:dyDescent="0.35">
      <c r="B3" t="s">
        <v>46</v>
      </c>
      <c r="C3" t="s">
        <v>95</v>
      </c>
      <c r="D3" t="s">
        <v>97</v>
      </c>
      <c r="E3" t="s">
        <v>93</v>
      </c>
      <c r="F3" t="s">
        <v>94</v>
      </c>
      <c r="G3" t="s">
        <v>103</v>
      </c>
      <c r="H3" t="s">
        <v>104</v>
      </c>
      <c r="I3" t="s">
        <v>105</v>
      </c>
      <c r="J3" t="s">
        <v>106</v>
      </c>
      <c r="K3" t="s">
        <v>107</v>
      </c>
      <c r="L3" t="s">
        <v>108</v>
      </c>
      <c r="M3" t="s">
        <v>109</v>
      </c>
      <c r="N3" t="s">
        <v>110</v>
      </c>
      <c r="O3" t="s">
        <v>111</v>
      </c>
      <c r="P3" t="s">
        <v>112</v>
      </c>
      <c r="Q3" t="s">
        <v>113</v>
      </c>
      <c r="R3" t="s">
        <v>114</v>
      </c>
      <c r="S3" t="s">
        <v>17</v>
      </c>
    </row>
    <row r="4" spans="2:19" x14ac:dyDescent="0.35">
      <c r="B4">
        <v>100</v>
      </c>
      <c r="C4" t="s">
        <v>157</v>
      </c>
      <c r="D4" t="s">
        <v>101</v>
      </c>
      <c r="E4">
        <v>1001001</v>
      </c>
      <c r="F4" t="s">
        <v>73</v>
      </c>
      <c r="G4" s="7">
        <f>SUM('REC HUMANOS'!F4:F11)*G2</f>
        <v>78120</v>
      </c>
      <c r="H4" s="7">
        <f>$G$4/$G$2*H2</f>
        <v>70560</v>
      </c>
      <c r="I4" s="7">
        <f t="shared" ref="I4:R4" si="0">$G$4/$G$2*I2</f>
        <v>78120</v>
      </c>
      <c r="J4" s="7">
        <f t="shared" si="0"/>
        <v>75600</v>
      </c>
      <c r="K4" s="7">
        <f t="shared" si="0"/>
        <v>78120</v>
      </c>
      <c r="L4" s="7">
        <f t="shared" si="0"/>
        <v>75600</v>
      </c>
      <c r="M4" s="7">
        <f t="shared" si="0"/>
        <v>78120</v>
      </c>
      <c r="N4" s="7">
        <f t="shared" si="0"/>
        <v>78120</v>
      </c>
      <c r="O4" s="7">
        <f t="shared" si="0"/>
        <v>75600</v>
      </c>
      <c r="P4" s="7">
        <f t="shared" si="0"/>
        <v>78120</v>
      </c>
      <c r="Q4" s="7">
        <f t="shared" si="0"/>
        <v>75600</v>
      </c>
      <c r="R4" s="7">
        <f t="shared" si="0"/>
        <v>78120</v>
      </c>
      <c r="S4" s="7">
        <f>SUM(G4:R4)</f>
        <v>919800</v>
      </c>
    </row>
    <row r="5" spans="2:19" x14ac:dyDescent="0.35">
      <c r="B5">
        <v>100</v>
      </c>
      <c r="C5" t="s">
        <v>157</v>
      </c>
      <c r="D5" t="s">
        <v>101</v>
      </c>
      <c r="E5">
        <v>1001002</v>
      </c>
      <c r="F5" t="s">
        <v>74</v>
      </c>
      <c r="G5" s="5"/>
      <c r="S5" s="5">
        <f t="shared" ref="S5:S68" si="1">SUM(G5:R5)</f>
        <v>0</v>
      </c>
    </row>
    <row r="6" spans="2:19" x14ac:dyDescent="0.35">
      <c r="B6">
        <v>100</v>
      </c>
      <c r="C6" t="s">
        <v>157</v>
      </c>
      <c r="D6" t="s">
        <v>101</v>
      </c>
      <c r="E6">
        <v>1001003</v>
      </c>
      <c r="F6" t="s">
        <v>77</v>
      </c>
      <c r="G6" s="5"/>
      <c r="S6" s="5">
        <f t="shared" si="1"/>
        <v>0</v>
      </c>
    </row>
    <row r="7" spans="2:19" x14ac:dyDescent="0.35">
      <c r="B7">
        <v>100</v>
      </c>
      <c r="C7" t="s">
        <v>157</v>
      </c>
      <c r="D7" t="s">
        <v>101</v>
      </c>
      <c r="E7">
        <v>1001004</v>
      </c>
      <c r="F7" t="s">
        <v>75</v>
      </c>
      <c r="G7" s="5">
        <f>(((G4/G2)*15)/12)*0.25</f>
        <v>787.5</v>
      </c>
      <c r="H7" s="5">
        <f t="shared" ref="H7:R7" si="2">(((H4/H2)*15)/12)*0.25</f>
        <v>787.5</v>
      </c>
      <c r="I7" s="5">
        <f t="shared" si="2"/>
        <v>787.5</v>
      </c>
      <c r="J7" s="5">
        <f t="shared" si="2"/>
        <v>787.5</v>
      </c>
      <c r="K7" s="5">
        <f t="shared" si="2"/>
        <v>787.5</v>
      </c>
      <c r="L7" s="5">
        <f t="shared" si="2"/>
        <v>787.5</v>
      </c>
      <c r="M7" s="5">
        <f t="shared" si="2"/>
        <v>787.5</v>
      </c>
      <c r="N7" s="5">
        <f t="shared" si="2"/>
        <v>787.5</v>
      </c>
      <c r="O7" s="5">
        <f t="shared" si="2"/>
        <v>787.5</v>
      </c>
      <c r="P7" s="5">
        <f t="shared" si="2"/>
        <v>787.5</v>
      </c>
      <c r="Q7" s="5">
        <f t="shared" si="2"/>
        <v>787.5</v>
      </c>
      <c r="R7" s="5">
        <f t="shared" si="2"/>
        <v>787.5</v>
      </c>
      <c r="S7" s="5">
        <f t="shared" si="1"/>
        <v>9450</v>
      </c>
    </row>
    <row r="8" spans="2:19" x14ac:dyDescent="0.35">
      <c r="B8">
        <v>100</v>
      </c>
      <c r="C8" t="s">
        <v>157</v>
      </c>
      <c r="D8" t="s">
        <v>101</v>
      </c>
      <c r="E8">
        <v>1001005</v>
      </c>
      <c r="F8" t="s">
        <v>76</v>
      </c>
      <c r="G8" s="5">
        <f>(((G4/G2)*15)/12)</f>
        <v>3150</v>
      </c>
      <c r="H8" s="5">
        <f t="shared" ref="H8:R8" si="3">(((H4/H2)*15)/12)</f>
        <v>3150</v>
      </c>
      <c r="I8" s="5">
        <f t="shared" si="3"/>
        <v>3150</v>
      </c>
      <c r="J8" s="5">
        <f t="shared" si="3"/>
        <v>3150</v>
      </c>
      <c r="K8" s="5">
        <f t="shared" si="3"/>
        <v>3150</v>
      </c>
      <c r="L8" s="5">
        <f t="shared" si="3"/>
        <v>3150</v>
      </c>
      <c r="M8" s="5">
        <f t="shared" si="3"/>
        <v>3150</v>
      </c>
      <c r="N8" s="5">
        <f t="shared" si="3"/>
        <v>3150</v>
      </c>
      <c r="O8" s="5">
        <f t="shared" si="3"/>
        <v>3150</v>
      </c>
      <c r="P8" s="5">
        <f t="shared" si="3"/>
        <v>3150</v>
      </c>
      <c r="Q8" s="5">
        <f t="shared" si="3"/>
        <v>3150</v>
      </c>
      <c r="R8" s="5">
        <f t="shared" si="3"/>
        <v>3150</v>
      </c>
      <c r="S8" s="5">
        <f t="shared" si="1"/>
        <v>37800</v>
      </c>
    </row>
    <row r="9" spans="2:19" x14ac:dyDescent="0.35">
      <c r="B9">
        <v>100</v>
      </c>
      <c r="C9" t="s">
        <v>157</v>
      </c>
      <c r="D9" t="s">
        <v>101</v>
      </c>
      <c r="E9">
        <v>1001006</v>
      </c>
      <c r="F9" t="s">
        <v>78</v>
      </c>
      <c r="G9" s="2">
        <f>(G4*'REC HUMANOS'!$G$2)*'REC HUMANOS'!$K$9</f>
        <v>16394.263199999998</v>
      </c>
      <c r="H9" s="2">
        <f>(H4*'REC HUMANOS'!$G$2)*'REC HUMANOS'!$K$9</f>
        <v>14807.721599999999</v>
      </c>
      <c r="I9" s="2">
        <f>(I4*'REC HUMANOS'!$G$2)*'REC HUMANOS'!$K$9</f>
        <v>16394.263199999998</v>
      </c>
      <c r="J9" s="2">
        <f>(J4*'REC HUMANOS'!$G$2)*'REC HUMANOS'!$K$9</f>
        <v>15865.415999999997</v>
      </c>
      <c r="K9" s="2">
        <f>(K4*'REC HUMANOS'!$G$2)*'REC HUMANOS'!$K$9</f>
        <v>16394.263199999998</v>
      </c>
      <c r="L9" s="2">
        <f>(L4*'REC HUMANOS'!$G$2)*'REC HUMANOS'!$K$9</f>
        <v>15865.415999999997</v>
      </c>
      <c r="M9" s="2">
        <f>(M4*'REC HUMANOS'!$G$2)*'REC HUMANOS'!$K$9</f>
        <v>16394.263199999998</v>
      </c>
      <c r="N9" s="2">
        <f>(N4*'REC HUMANOS'!$G$2)*'REC HUMANOS'!$K$9</f>
        <v>16394.263199999998</v>
      </c>
      <c r="O9" s="2">
        <f>(O4*'REC HUMANOS'!$G$2)*'REC HUMANOS'!$K$9</f>
        <v>15865.415999999997</v>
      </c>
      <c r="P9" s="2">
        <f>(P4*'REC HUMANOS'!$G$2)*'REC HUMANOS'!$K$9</f>
        <v>16394.263199999998</v>
      </c>
      <c r="Q9" s="2">
        <f>(Q4*'REC HUMANOS'!$G$2)*'REC HUMANOS'!$K$9</f>
        <v>15865.415999999997</v>
      </c>
      <c r="R9" s="2">
        <f>(R4*'REC HUMANOS'!$G$2)*'REC HUMANOS'!$K$9</f>
        <v>16394.263199999998</v>
      </c>
      <c r="S9" s="5">
        <f t="shared" si="1"/>
        <v>193029.22799999997</v>
      </c>
    </row>
    <row r="10" spans="2:19" x14ac:dyDescent="0.35">
      <c r="B10">
        <v>100</v>
      </c>
      <c r="C10" t="s">
        <v>157</v>
      </c>
      <c r="D10" t="s">
        <v>101</v>
      </c>
      <c r="E10">
        <v>1001007</v>
      </c>
      <c r="F10" t="s">
        <v>79</v>
      </c>
      <c r="G10" s="2">
        <f>(G4*'REC HUMANOS'!$G$2)*'REC HUMANOS'!$K$10</f>
        <v>3688.7092199999993</v>
      </c>
      <c r="H10" s="2">
        <f>(H4*'REC HUMANOS'!$G$2)*'REC HUMANOS'!$K$10</f>
        <v>3331.7373599999996</v>
      </c>
      <c r="I10" s="2">
        <f>(I4*'REC HUMANOS'!$G$2)*'REC HUMANOS'!$K$10</f>
        <v>3688.7092199999993</v>
      </c>
      <c r="J10" s="2">
        <f>(J4*'REC HUMANOS'!$G$2)*'REC HUMANOS'!$K$10</f>
        <v>3569.7185999999992</v>
      </c>
      <c r="K10" s="2">
        <f>(K4*'REC HUMANOS'!$G$2)*'REC HUMANOS'!$K$10</f>
        <v>3688.7092199999993</v>
      </c>
      <c r="L10" s="2">
        <f>(L4*'REC HUMANOS'!$G$2)*'REC HUMANOS'!$K$10</f>
        <v>3569.7185999999992</v>
      </c>
      <c r="M10" s="2">
        <f>(M4*'REC HUMANOS'!$G$2)*'REC HUMANOS'!$K$10</f>
        <v>3688.7092199999993</v>
      </c>
      <c r="N10" s="2">
        <f>(N4*'REC HUMANOS'!$G$2)*'REC HUMANOS'!$K$10</f>
        <v>3688.7092199999993</v>
      </c>
      <c r="O10" s="2">
        <f>(O4*'REC HUMANOS'!$G$2)*'REC HUMANOS'!$K$10</f>
        <v>3569.7185999999992</v>
      </c>
      <c r="P10" s="2">
        <f>(P4*'REC HUMANOS'!$G$2)*'REC HUMANOS'!$K$10</f>
        <v>3688.7092199999993</v>
      </c>
      <c r="Q10" s="2">
        <f>(Q4*'REC HUMANOS'!$G$2)*'REC HUMANOS'!$K$10</f>
        <v>3569.7185999999992</v>
      </c>
      <c r="R10" s="2">
        <f>(R4*'REC HUMANOS'!$G$2)*'REC HUMANOS'!$K$10</f>
        <v>3688.7092199999993</v>
      </c>
      <c r="S10" s="5">
        <f t="shared" si="1"/>
        <v>43431.576299999993</v>
      </c>
    </row>
    <row r="11" spans="2:19" x14ac:dyDescent="0.35">
      <c r="B11">
        <v>100</v>
      </c>
      <c r="C11" t="s">
        <v>157</v>
      </c>
      <c r="D11" t="s">
        <v>101</v>
      </c>
      <c r="E11">
        <v>1001008</v>
      </c>
      <c r="F11" t="s">
        <v>81</v>
      </c>
      <c r="G11" s="2">
        <f>(G4*'REC HUMANOS'!$G$2)*'REC HUMANOS'!$K$11</f>
        <v>4098.5657999999994</v>
      </c>
      <c r="H11" s="2">
        <f>(H4*'REC HUMANOS'!$G$2)*'REC HUMANOS'!$K$11</f>
        <v>3701.9303999999997</v>
      </c>
      <c r="I11" s="2">
        <f>(I4*'REC HUMANOS'!$G$2)*'REC HUMANOS'!$K$11</f>
        <v>4098.5657999999994</v>
      </c>
      <c r="J11" s="2">
        <f>(J4*'REC HUMANOS'!$G$2)*'REC HUMANOS'!$K$11</f>
        <v>3966.3539999999994</v>
      </c>
      <c r="K11" s="2">
        <f>(K4*'REC HUMANOS'!$G$2)*'REC HUMANOS'!$K$11</f>
        <v>4098.5657999999994</v>
      </c>
      <c r="L11" s="2">
        <f>(L4*'REC HUMANOS'!$G$2)*'REC HUMANOS'!$K$11</f>
        <v>3966.3539999999994</v>
      </c>
      <c r="M11" s="2">
        <f>(M4*'REC HUMANOS'!$G$2)*'REC HUMANOS'!$K$11</f>
        <v>4098.5657999999994</v>
      </c>
      <c r="N11" s="2">
        <f>(N4*'REC HUMANOS'!$G$2)*'REC HUMANOS'!$K$11</f>
        <v>4098.5657999999994</v>
      </c>
      <c r="O11" s="2">
        <f>(O4*'REC HUMANOS'!$G$2)*'REC HUMANOS'!$K$11</f>
        <v>3966.3539999999994</v>
      </c>
      <c r="P11" s="2">
        <f>(P4*'REC HUMANOS'!$G$2)*'REC HUMANOS'!$K$11</f>
        <v>4098.5657999999994</v>
      </c>
      <c r="Q11" s="2">
        <f>(Q4*'REC HUMANOS'!$G$2)*'REC HUMANOS'!$K$11</f>
        <v>3966.3539999999994</v>
      </c>
      <c r="R11" s="2">
        <f>(R4*'REC HUMANOS'!$G$2)*'REC HUMANOS'!$K$11</f>
        <v>4098.5657999999994</v>
      </c>
      <c r="S11" s="5">
        <f t="shared" si="1"/>
        <v>48257.306999999993</v>
      </c>
    </row>
    <row r="12" spans="2:19" x14ac:dyDescent="0.35">
      <c r="B12">
        <v>100</v>
      </c>
      <c r="C12" t="s">
        <v>157</v>
      </c>
      <c r="D12" t="s">
        <v>101</v>
      </c>
      <c r="E12">
        <v>1001009</v>
      </c>
      <c r="F12" t="s">
        <v>80</v>
      </c>
      <c r="G12" s="2">
        <f>(G4*'REC HUMANOS'!$G$2)*'REC HUMANOS'!$K$14</f>
        <v>2459.1394799999998</v>
      </c>
      <c r="H12" s="2">
        <f>(H4*'REC HUMANOS'!$G$2)*'REC HUMANOS'!$K$14</f>
        <v>2221.1582399999998</v>
      </c>
      <c r="I12" s="2">
        <f>(I4*'REC HUMANOS'!$G$2)*'REC HUMANOS'!$K$14</f>
        <v>2459.1394799999998</v>
      </c>
      <c r="J12" s="2">
        <f>(J4*'REC HUMANOS'!$G$2)*'REC HUMANOS'!$K$14</f>
        <v>2379.8123999999993</v>
      </c>
      <c r="K12" s="2">
        <f>(K4*'REC HUMANOS'!$G$2)*'REC HUMANOS'!$K$14</f>
        <v>2459.1394799999998</v>
      </c>
      <c r="L12" s="2">
        <f>(L4*'REC HUMANOS'!$G$2)*'REC HUMANOS'!$K$14</f>
        <v>2379.8123999999993</v>
      </c>
      <c r="M12" s="2">
        <f>(M4*'REC HUMANOS'!$G$2)*'REC HUMANOS'!$K$14</f>
        <v>2459.1394799999998</v>
      </c>
      <c r="N12" s="2">
        <f>(N4*'REC HUMANOS'!$G$2)*'REC HUMANOS'!$K$14</f>
        <v>2459.1394799999998</v>
      </c>
      <c r="O12" s="2">
        <f>(O4*'REC HUMANOS'!$G$2)*'REC HUMANOS'!$K$14</f>
        <v>2379.8123999999993</v>
      </c>
      <c r="P12" s="2">
        <f>(P4*'REC HUMANOS'!$G$2)*'REC HUMANOS'!$K$14</f>
        <v>2459.1394799999998</v>
      </c>
      <c r="Q12" s="2">
        <f>(Q4*'REC HUMANOS'!$G$2)*'REC HUMANOS'!$K$14</f>
        <v>2379.8123999999993</v>
      </c>
      <c r="R12" s="2">
        <f>(R4*'REC HUMANOS'!$G$2)*'REC HUMANOS'!$K$14</f>
        <v>2459.1394799999998</v>
      </c>
      <c r="S12" s="5">
        <f t="shared" si="1"/>
        <v>28954.3842</v>
      </c>
    </row>
    <row r="13" spans="2:19" x14ac:dyDescent="0.35">
      <c r="B13">
        <v>100</v>
      </c>
      <c r="C13" t="s">
        <v>157</v>
      </c>
      <c r="D13" t="s">
        <v>102</v>
      </c>
      <c r="E13">
        <v>1002001</v>
      </c>
      <c r="F13" s="55" t="s">
        <v>83</v>
      </c>
      <c r="G13" s="2">
        <v>40000</v>
      </c>
      <c r="H13" s="2">
        <v>40000</v>
      </c>
      <c r="I13" s="2">
        <v>40000</v>
      </c>
      <c r="J13" s="2">
        <v>40000</v>
      </c>
      <c r="K13" s="2">
        <v>40000</v>
      </c>
      <c r="L13" s="2">
        <v>40000</v>
      </c>
      <c r="M13" s="2">
        <v>40000</v>
      </c>
      <c r="N13" s="2">
        <v>40000</v>
      </c>
      <c r="O13" s="2">
        <v>40000</v>
      </c>
      <c r="P13" s="2">
        <v>40000</v>
      </c>
      <c r="Q13" s="2">
        <v>40000</v>
      </c>
      <c r="R13" s="2">
        <v>40000</v>
      </c>
      <c r="S13" s="5">
        <f t="shared" si="1"/>
        <v>480000</v>
      </c>
    </row>
    <row r="14" spans="2:19" x14ac:dyDescent="0.35">
      <c r="B14">
        <v>100</v>
      </c>
      <c r="C14" t="s">
        <v>157</v>
      </c>
      <c r="D14" t="s">
        <v>102</v>
      </c>
      <c r="E14">
        <v>1002002</v>
      </c>
      <c r="F14" s="55" t="s">
        <v>84</v>
      </c>
      <c r="G14" s="2">
        <v>12000</v>
      </c>
      <c r="H14" s="2">
        <v>12000</v>
      </c>
      <c r="I14" s="2">
        <v>12000</v>
      </c>
      <c r="J14" s="2">
        <v>12000</v>
      </c>
      <c r="K14" s="2">
        <v>12000</v>
      </c>
      <c r="L14" s="2">
        <v>12000</v>
      </c>
      <c r="M14" s="2">
        <v>12000</v>
      </c>
      <c r="N14" s="2">
        <v>12000</v>
      </c>
      <c r="O14" s="2">
        <v>12000</v>
      </c>
      <c r="P14" s="2">
        <v>12000</v>
      </c>
      <c r="Q14" s="2">
        <v>12000</v>
      </c>
      <c r="R14" s="2">
        <v>12000</v>
      </c>
      <c r="S14" s="5">
        <f t="shared" si="1"/>
        <v>144000</v>
      </c>
    </row>
    <row r="15" spans="2:19" x14ac:dyDescent="0.35">
      <c r="B15">
        <v>100</v>
      </c>
      <c r="C15" t="s">
        <v>157</v>
      </c>
      <c r="D15" t="s">
        <v>102</v>
      </c>
      <c r="E15">
        <v>1002003</v>
      </c>
      <c r="F15" s="55" t="s">
        <v>85</v>
      </c>
      <c r="G15" s="2">
        <v>4500</v>
      </c>
      <c r="H15" s="2">
        <v>4500</v>
      </c>
      <c r="I15" s="2">
        <v>4500</v>
      </c>
      <c r="J15" s="2">
        <v>4500</v>
      </c>
      <c r="K15" s="2">
        <v>4500</v>
      </c>
      <c r="L15" s="2">
        <v>4500</v>
      </c>
      <c r="M15" s="2">
        <v>4500</v>
      </c>
      <c r="N15" s="2">
        <v>4500</v>
      </c>
      <c r="O15" s="2">
        <v>4500</v>
      </c>
      <c r="P15" s="2">
        <v>4500</v>
      </c>
      <c r="Q15" s="2">
        <v>4500</v>
      </c>
      <c r="R15" s="2">
        <v>4500</v>
      </c>
      <c r="S15" s="5">
        <f t="shared" si="1"/>
        <v>54000</v>
      </c>
    </row>
    <row r="16" spans="2:19" x14ac:dyDescent="0.35">
      <c r="B16">
        <v>100</v>
      </c>
      <c r="C16" t="s">
        <v>157</v>
      </c>
      <c r="D16" t="s">
        <v>102</v>
      </c>
      <c r="E16">
        <v>1002004</v>
      </c>
      <c r="F16" s="55" t="s">
        <v>86</v>
      </c>
      <c r="G16" s="2">
        <v>1000</v>
      </c>
      <c r="H16" s="2">
        <v>1000</v>
      </c>
      <c r="I16" s="2">
        <v>1000</v>
      </c>
      <c r="J16" s="2">
        <v>1000</v>
      </c>
      <c r="K16" s="2">
        <v>1000</v>
      </c>
      <c r="L16" s="2">
        <v>1000</v>
      </c>
      <c r="M16" s="2">
        <v>1000</v>
      </c>
      <c r="N16" s="2">
        <v>1000</v>
      </c>
      <c r="O16" s="2">
        <v>1000</v>
      </c>
      <c r="P16" s="2">
        <v>1000</v>
      </c>
      <c r="Q16" s="2">
        <v>1000</v>
      </c>
      <c r="R16" s="2">
        <v>1000</v>
      </c>
      <c r="S16" s="5">
        <f t="shared" si="1"/>
        <v>12000</v>
      </c>
    </row>
    <row r="17" spans="2:19" x14ac:dyDescent="0.35">
      <c r="B17">
        <v>100</v>
      </c>
      <c r="C17" t="s">
        <v>157</v>
      </c>
      <c r="D17" t="s">
        <v>102</v>
      </c>
      <c r="E17">
        <v>1002005</v>
      </c>
      <c r="F17" s="55" t="s">
        <v>87</v>
      </c>
      <c r="G17" s="2">
        <v>1500</v>
      </c>
      <c r="H17" s="2">
        <v>1500</v>
      </c>
      <c r="I17" s="2">
        <v>1500</v>
      </c>
      <c r="J17" s="2">
        <v>1500</v>
      </c>
      <c r="K17" s="2">
        <v>1500</v>
      </c>
      <c r="L17" s="2">
        <v>1500</v>
      </c>
      <c r="M17" s="2">
        <v>1500</v>
      </c>
      <c r="N17" s="2">
        <v>1500</v>
      </c>
      <c r="O17" s="2">
        <v>1500</v>
      </c>
      <c r="P17" s="2">
        <v>1500</v>
      </c>
      <c r="Q17" s="2">
        <v>1500</v>
      </c>
      <c r="R17" s="2">
        <v>1500</v>
      </c>
      <c r="S17" s="5">
        <f t="shared" si="1"/>
        <v>18000</v>
      </c>
    </row>
    <row r="18" spans="2:19" x14ac:dyDescent="0.35">
      <c r="B18">
        <v>100</v>
      </c>
      <c r="C18" t="s">
        <v>157</v>
      </c>
      <c r="D18" t="s">
        <v>102</v>
      </c>
      <c r="E18">
        <v>1002006</v>
      </c>
      <c r="F18" s="55" t="s">
        <v>88</v>
      </c>
      <c r="G18" s="2">
        <v>1000</v>
      </c>
      <c r="H18" s="2">
        <v>1000</v>
      </c>
      <c r="I18" s="2">
        <v>1000</v>
      </c>
      <c r="J18" s="2">
        <v>1000</v>
      </c>
      <c r="K18" s="2">
        <v>1000</v>
      </c>
      <c r="L18" s="2">
        <v>1000</v>
      </c>
      <c r="M18" s="2">
        <v>1000</v>
      </c>
      <c r="N18" s="2">
        <v>1000</v>
      </c>
      <c r="O18" s="2">
        <v>1000</v>
      </c>
      <c r="P18" s="2">
        <v>1000</v>
      </c>
      <c r="Q18" s="2">
        <v>1000</v>
      </c>
      <c r="R18" s="2">
        <v>1000</v>
      </c>
      <c r="S18" s="5">
        <f t="shared" si="1"/>
        <v>12000</v>
      </c>
    </row>
    <row r="19" spans="2:19" x14ac:dyDescent="0.35">
      <c r="B19">
        <v>100</v>
      </c>
      <c r="C19" t="s">
        <v>157</v>
      </c>
      <c r="D19" t="s">
        <v>100</v>
      </c>
      <c r="E19">
        <v>1003001</v>
      </c>
      <c r="F19" t="s">
        <v>82</v>
      </c>
      <c r="G19" s="7">
        <f>'REC HUMANOS'!F12*30</f>
        <v>15000</v>
      </c>
      <c r="H19" s="7">
        <f>G19</f>
        <v>15000</v>
      </c>
      <c r="I19" s="7">
        <f t="shared" ref="I19:R19" si="4">H19</f>
        <v>15000</v>
      </c>
      <c r="J19" s="7">
        <f t="shared" si="4"/>
        <v>15000</v>
      </c>
      <c r="K19" s="7">
        <f t="shared" si="4"/>
        <v>15000</v>
      </c>
      <c r="L19" s="7">
        <f t="shared" si="4"/>
        <v>15000</v>
      </c>
      <c r="M19" s="7">
        <f t="shared" si="4"/>
        <v>15000</v>
      </c>
      <c r="N19" s="7">
        <f t="shared" si="4"/>
        <v>15000</v>
      </c>
      <c r="O19" s="7">
        <f t="shared" si="4"/>
        <v>15000</v>
      </c>
      <c r="P19" s="7">
        <f t="shared" si="4"/>
        <v>15000</v>
      </c>
      <c r="Q19" s="7">
        <f t="shared" si="4"/>
        <v>15000</v>
      </c>
      <c r="R19" s="7">
        <f t="shared" si="4"/>
        <v>15000</v>
      </c>
      <c r="S19" s="7">
        <f t="shared" si="1"/>
        <v>180000</v>
      </c>
    </row>
    <row r="20" spans="2:19" x14ac:dyDescent="0.35">
      <c r="B20">
        <v>100</v>
      </c>
      <c r="C20" t="s">
        <v>157</v>
      </c>
      <c r="D20" t="s">
        <v>100</v>
      </c>
      <c r="E20">
        <v>1003002</v>
      </c>
      <c r="F20" t="s">
        <v>74</v>
      </c>
      <c r="S20" s="5">
        <f t="shared" si="1"/>
        <v>0</v>
      </c>
    </row>
    <row r="21" spans="2:19" x14ac:dyDescent="0.35">
      <c r="B21">
        <v>100</v>
      </c>
      <c r="C21" t="s">
        <v>157</v>
      </c>
      <c r="D21" t="s">
        <v>100</v>
      </c>
      <c r="E21">
        <v>1003003</v>
      </c>
      <c r="F21" t="s">
        <v>77</v>
      </c>
      <c r="S21" s="5">
        <f t="shared" si="1"/>
        <v>0</v>
      </c>
    </row>
    <row r="22" spans="2:19" x14ac:dyDescent="0.35">
      <c r="B22">
        <v>100</v>
      </c>
      <c r="C22" t="s">
        <v>157</v>
      </c>
      <c r="D22" t="s">
        <v>100</v>
      </c>
      <c r="E22">
        <v>1003004</v>
      </c>
      <c r="F22" t="s">
        <v>75</v>
      </c>
      <c r="G22" s="5">
        <f>(((G19/G2)*15)/12)*'REC HUMANOS'!$K$6</f>
        <v>151.20967741935485</v>
      </c>
      <c r="H22" s="5">
        <f>(((H19/H2)*15)/12)*'REC HUMANOS'!$K$6</f>
        <v>167.41071428571428</v>
      </c>
      <c r="I22" s="5">
        <f>(((I19/I2)*15)/12)*'REC HUMANOS'!$K$6</f>
        <v>151.20967741935485</v>
      </c>
      <c r="J22" s="5">
        <f>(((J19/J2)*15)/12)*'REC HUMANOS'!$K$6</f>
        <v>156.25</v>
      </c>
      <c r="K22" s="5">
        <f>(((K19/K2)*15)/12)*'REC HUMANOS'!$K$6</f>
        <v>151.20967741935485</v>
      </c>
      <c r="L22" s="5">
        <f>(((L19/L2)*15)/12)*'REC HUMANOS'!$K$6</f>
        <v>156.25</v>
      </c>
      <c r="M22" s="5">
        <f>(((M19/M2)*15)/12)*'REC HUMANOS'!$K$6</f>
        <v>151.20967741935485</v>
      </c>
      <c r="N22" s="5">
        <f>(((N19/N2)*15)/12)*'REC HUMANOS'!$K$6</f>
        <v>151.20967741935485</v>
      </c>
      <c r="O22" s="5">
        <f>(((O19/O2)*15)/12)*'REC HUMANOS'!$K$6</f>
        <v>156.25</v>
      </c>
      <c r="P22" s="5">
        <f>(((P19/P2)*15)/12)*'REC HUMANOS'!$K$6</f>
        <v>151.20967741935485</v>
      </c>
      <c r="Q22" s="5">
        <f>(((Q19/Q2)*15)/12)*'REC HUMANOS'!$K$6</f>
        <v>156.25</v>
      </c>
      <c r="R22" s="5">
        <f>(((R19/R2)*15)/12)*'REC HUMANOS'!$K$6</f>
        <v>151.20967741935485</v>
      </c>
      <c r="S22" s="5">
        <f t="shared" si="1"/>
        <v>1850.8784562211983</v>
      </c>
    </row>
    <row r="23" spans="2:19" x14ac:dyDescent="0.35">
      <c r="B23">
        <v>100</v>
      </c>
      <c r="C23" t="s">
        <v>157</v>
      </c>
      <c r="D23" t="s">
        <v>100</v>
      </c>
      <c r="E23">
        <v>1003005</v>
      </c>
      <c r="F23" t="s">
        <v>76</v>
      </c>
      <c r="G23" s="5">
        <f>(((G19/G2)*'REC HUMANOS'!$K$4/12))</f>
        <v>604.83870967741939</v>
      </c>
      <c r="H23" s="5">
        <f>(((H19/H2)*'REC HUMANOS'!$K$4/12))</f>
        <v>669.64285714285711</v>
      </c>
      <c r="I23" s="5">
        <f>(((I19/I2)*'REC HUMANOS'!$K$4/12))</f>
        <v>604.83870967741939</v>
      </c>
      <c r="J23" s="5">
        <f>(((J19/J2)*'REC HUMANOS'!$K$4/12))</f>
        <v>625</v>
      </c>
      <c r="K23" s="5">
        <f>(((K19/K2)*'REC HUMANOS'!$K$4/12))</f>
        <v>604.83870967741939</v>
      </c>
      <c r="L23" s="5">
        <f>(((L19/L2)*'REC HUMANOS'!$K$4/12))</f>
        <v>625</v>
      </c>
      <c r="M23" s="5">
        <f>(((M19/M2)*'REC HUMANOS'!$K$4/12))</f>
        <v>604.83870967741939</v>
      </c>
      <c r="N23" s="5">
        <f>(((N19/N2)*'REC HUMANOS'!$K$4/12))</f>
        <v>604.83870967741939</v>
      </c>
      <c r="O23" s="5">
        <f>(((O19/O2)*'REC HUMANOS'!$K$4/12))</f>
        <v>625</v>
      </c>
      <c r="P23" s="5">
        <f>(((P19/P2)*'REC HUMANOS'!$K$4/12))</f>
        <v>604.83870967741939</v>
      </c>
      <c r="Q23" s="5">
        <f>(((Q19/Q2)*'REC HUMANOS'!$K$4/12))</f>
        <v>625</v>
      </c>
      <c r="R23" s="5">
        <f>(((R19/R2)*'REC HUMANOS'!$K$4/12))</f>
        <v>604.83870967741939</v>
      </c>
      <c r="S23" s="5">
        <f t="shared" si="1"/>
        <v>7403.5138248847934</v>
      </c>
    </row>
    <row r="24" spans="2:19" x14ac:dyDescent="0.35">
      <c r="B24">
        <v>100</v>
      </c>
      <c r="C24" t="s">
        <v>157</v>
      </c>
      <c r="D24" t="s">
        <v>100</v>
      </c>
      <c r="E24">
        <v>1003006</v>
      </c>
      <c r="F24" t="s">
        <v>78</v>
      </c>
      <c r="G24" s="2">
        <f>(G19*'REC HUMANOS'!$G$2)*'REC HUMANOS'!$K$9</f>
        <v>3147.8999999999996</v>
      </c>
      <c r="H24" s="2">
        <f>(H19*'REC HUMANOS'!$G$2)*'REC HUMANOS'!$K$9</f>
        <v>3147.8999999999996</v>
      </c>
      <c r="I24" s="2">
        <f>(I19*'REC HUMANOS'!$G$2)*'REC HUMANOS'!$K$9</f>
        <v>3147.8999999999996</v>
      </c>
      <c r="J24" s="2">
        <f>(J19*'REC HUMANOS'!$G$2)*'REC HUMANOS'!$K$9</f>
        <v>3147.8999999999996</v>
      </c>
      <c r="K24" s="2">
        <f>(K19*'REC HUMANOS'!$G$2)*'REC HUMANOS'!$K$9</f>
        <v>3147.8999999999996</v>
      </c>
      <c r="L24" s="2">
        <f>(L19*'REC HUMANOS'!$G$2)*'REC HUMANOS'!$K$9</f>
        <v>3147.8999999999996</v>
      </c>
      <c r="M24" s="2">
        <f>(M19*'REC HUMANOS'!$G$2)*'REC HUMANOS'!$K$9</f>
        <v>3147.8999999999996</v>
      </c>
      <c r="N24" s="2">
        <f>(N19*'REC HUMANOS'!$G$2)*'REC HUMANOS'!$K$9</f>
        <v>3147.8999999999996</v>
      </c>
      <c r="O24" s="2">
        <f>(O19*'REC HUMANOS'!$G$2)*'REC HUMANOS'!$K$9</f>
        <v>3147.8999999999996</v>
      </c>
      <c r="P24" s="2">
        <f>(P19*'REC HUMANOS'!$G$2)*'REC HUMANOS'!$K$9</f>
        <v>3147.8999999999996</v>
      </c>
      <c r="Q24" s="2">
        <f>(Q19*'REC HUMANOS'!$G$2)*'REC HUMANOS'!$K$9</f>
        <v>3147.8999999999996</v>
      </c>
      <c r="R24" s="2">
        <f>(R19*'REC HUMANOS'!$G$2)*'REC HUMANOS'!$K$9</f>
        <v>3147.8999999999996</v>
      </c>
      <c r="S24" s="5">
        <f t="shared" si="1"/>
        <v>37774.800000000003</v>
      </c>
    </row>
    <row r="25" spans="2:19" x14ac:dyDescent="0.35">
      <c r="B25">
        <v>100</v>
      </c>
      <c r="C25" t="s">
        <v>157</v>
      </c>
      <c r="D25" t="s">
        <v>100</v>
      </c>
      <c r="E25">
        <v>1003007</v>
      </c>
      <c r="F25" t="s">
        <v>79</v>
      </c>
      <c r="G25" s="2">
        <f>(G19*'REC HUMANOS'!$G$2)*'REC HUMANOS'!$K$10</f>
        <v>708.27749999999992</v>
      </c>
      <c r="H25" s="2">
        <f>(H19*'REC HUMANOS'!$G$2)*'REC HUMANOS'!$K$10</f>
        <v>708.27749999999992</v>
      </c>
      <c r="I25" s="2">
        <f>(I19*'REC HUMANOS'!$G$2)*'REC HUMANOS'!$K$10</f>
        <v>708.27749999999992</v>
      </c>
      <c r="J25" s="2">
        <f>(J19*'REC HUMANOS'!$G$2)*'REC HUMANOS'!$K$10</f>
        <v>708.27749999999992</v>
      </c>
      <c r="K25" s="2">
        <f>(K19*'REC HUMANOS'!$G$2)*'REC HUMANOS'!$K$10</f>
        <v>708.27749999999992</v>
      </c>
      <c r="L25" s="2">
        <f>(L19*'REC HUMANOS'!$G$2)*'REC HUMANOS'!$K$10</f>
        <v>708.27749999999992</v>
      </c>
      <c r="M25" s="2">
        <f>(M19*'REC HUMANOS'!$G$2)*'REC HUMANOS'!$K$10</f>
        <v>708.27749999999992</v>
      </c>
      <c r="N25" s="2">
        <f>(N19*'REC HUMANOS'!$G$2)*'REC HUMANOS'!$K$10</f>
        <v>708.27749999999992</v>
      </c>
      <c r="O25" s="2">
        <f>(O19*'REC HUMANOS'!$G$2)*'REC HUMANOS'!$K$10</f>
        <v>708.27749999999992</v>
      </c>
      <c r="P25" s="2">
        <f>(P19*'REC HUMANOS'!$G$2)*'REC HUMANOS'!$K$10</f>
        <v>708.27749999999992</v>
      </c>
      <c r="Q25" s="2">
        <f>(Q19*'REC HUMANOS'!$G$2)*'REC HUMANOS'!$K$10</f>
        <v>708.27749999999992</v>
      </c>
      <c r="R25" s="2">
        <f>(R19*'REC HUMANOS'!$G$2)*'REC HUMANOS'!$K$10</f>
        <v>708.27749999999992</v>
      </c>
      <c r="S25" s="5">
        <f t="shared" si="1"/>
        <v>8499.33</v>
      </c>
    </row>
    <row r="26" spans="2:19" x14ac:dyDescent="0.35">
      <c r="B26">
        <v>100</v>
      </c>
      <c r="C26" t="s">
        <v>157</v>
      </c>
      <c r="D26" t="s">
        <v>100</v>
      </c>
      <c r="E26">
        <v>1003008</v>
      </c>
      <c r="F26" t="s">
        <v>81</v>
      </c>
      <c r="G26" s="2">
        <f>(G19*'REC HUMANOS'!$G$2)*'REC HUMANOS'!$K$11</f>
        <v>786.97499999999991</v>
      </c>
      <c r="H26" s="2">
        <f>(H19*'REC HUMANOS'!$G$2)*'REC HUMANOS'!$K$11</f>
        <v>786.97499999999991</v>
      </c>
      <c r="I26" s="2">
        <f>(I19*'REC HUMANOS'!$G$2)*'REC HUMANOS'!$K$11</f>
        <v>786.97499999999991</v>
      </c>
      <c r="J26" s="2">
        <f>(J19*'REC HUMANOS'!$G$2)*'REC HUMANOS'!$K$11</f>
        <v>786.97499999999991</v>
      </c>
      <c r="K26" s="2">
        <f>(K19*'REC HUMANOS'!$G$2)*'REC HUMANOS'!$K$11</f>
        <v>786.97499999999991</v>
      </c>
      <c r="L26" s="2">
        <f>(L19*'REC HUMANOS'!$G$2)*'REC HUMANOS'!$K$11</f>
        <v>786.97499999999991</v>
      </c>
      <c r="M26" s="2">
        <f>(M19*'REC HUMANOS'!$G$2)*'REC HUMANOS'!$K$11</f>
        <v>786.97499999999991</v>
      </c>
      <c r="N26" s="2">
        <f>(N19*'REC HUMANOS'!$G$2)*'REC HUMANOS'!$K$11</f>
        <v>786.97499999999991</v>
      </c>
      <c r="O26" s="2">
        <f>(O19*'REC HUMANOS'!$G$2)*'REC HUMANOS'!$K$11</f>
        <v>786.97499999999991</v>
      </c>
      <c r="P26" s="2">
        <f>(P19*'REC HUMANOS'!$G$2)*'REC HUMANOS'!$K$11</f>
        <v>786.97499999999991</v>
      </c>
      <c r="Q26" s="2">
        <f>(Q19*'REC HUMANOS'!$G$2)*'REC HUMANOS'!$K$11</f>
        <v>786.97499999999991</v>
      </c>
      <c r="R26" s="2">
        <f>(R19*'REC HUMANOS'!$G$2)*'REC HUMANOS'!$K$11</f>
        <v>786.97499999999991</v>
      </c>
      <c r="S26" s="5">
        <f t="shared" si="1"/>
        <v>9443.7000000000007</v>
      </c>
    </row>
    <row r="27" spans="2:19" x14ac:dyDescent="0.35">
      <c r="B27">
        <v>100</v>
      </c>
      <c r="C27" t="s">
        <v>157</v>
      </c>
      <c r="D27" t="s">
        <v>100</v>
      </c>
      <c r="E27">
        <v>1003009</v>
      </c>
      <c r="F27" t="s">
        <v>80</v>
      </c>
      <c r="G27" s="2">
        <f>(G19*'REC HUMANOS'!$G$2)*'REC HUMANOS'!$K$14</f>
        <v>472.18499999999995</v>
      </c>
      <c r="H27" s="2">
        <f>(H19*'REC HUMANOS'!$G$2)*'REC HUMANOS'!$K$14</f>
        <v>472.18499999999995</v>
      </c>
      <c r="I27" s="2">
        <f>(I19*'REC HUMANOS'!$G$2)*'REC HUMANOS'!$K$14</f>
        <v>472.18499999999995</v>
      </c>
      <c r="J27" s="2">
        <f>(J19*'REC HUMANOS'!$G$2)*'REC HUMANOS'!$K$14</f>
        <v>472.18499999999995</v>
      </c>
      <c r="K27" s="2">
        <f>(K19*'REC HUMANOS'!$G$2)*'REC HUMANOS'!$K$14</f>
        <v>472.18499999999995</v>
      </c>
      <c r="L27" s="2">
        <f>(L19*'REC HUMANOS'!$G$2)*'REC HUMANOS'!$K$14</f>
        <v>472.18499999999995</v>
      </c>
      <c r="M27" s="2">
        <f>(M19*'REC HUMANOS'!$G$2)*'REC HUMANOS'!$K$14</f>
        <v>472.18499999999995</v>
      </c>
      <c r="N27" s="2">
        <f>(N19*'REC HUMANOS'!$G$2)*'REC HUMANOS'!$K$14</f>
        <v>472.18499999999995</v>
      </c>
      <c r="O27" s="2">
        <f>(O19*'REC HUMANOS'!$G$2)*'REC HUMANOS'!$K$14</f>
        <v>472.18499999999995</v>
      </c>
      <c r="P27" s="2">
        <f>(P19*'REC HUMANOS'!$G$2)*'REC HUMANOS'!$K$14</f>
        <v>472.18499999999995</v>
      </c>
      <c r="Q27" s="2">
        <f>(Q19*'REC HUMANOS'!$G$2)*'REC HUMANOS'!$K$14</f>
        <v>472.18499999999995</v>
      </c>
      <c r="R27" s="2">
        <f>(R19*'REC HUMANOS'!$G$2)*'REC HUMANOS'!$K$14</f>
        <v>472.18499999999995</v>
      </c>
      <c r="S27" s="5">
        <f t="shared" si="1"/>
        <v>5666.2199999999975</v>
      </c>
    </row>
    <row r="28" spans="2:19" x14ac:dyDescent="0.35">
      <c r="B28">
        <v>100</v>
      </c>
      <c r="C28" t="s">
        <v>157</v>
      </c>
      <c r="D28" t="s">
        <v>100</v>
      </c>
      <c r="E28">
        <v>1003101</v>
      </c>
      <c r="F28" t="s">
        <v>89</v>
      </c>
      <c r="G28" s="5">
        <f>'CONTABILIDAD &amp; COSTOS'!$J$35</f>
        <v>15000</v>
      </c>
      <c r="H28" s="5">
        <f>'CONTABILIDAD &amp; COSTOS'!$J$35</f>
        <v>15000</v>
      </c>
      <c r="I28" s="5">
        <f>'CONTABILIDAD &amp; COSTOS'!$J$35</f>
        <v>15000</v>
      </c>
      <c r="J28" s="5">
        <f>'CONTABILIDAD &amp; COSTOS'!$J$35</f>
        <v>15000</v>
      </c>
      <c r="K28" s="5">
        <f>'CONTABILIDAD &amp; COSTOS'!$J$35</f>
        <v>15000</v>
      </c>
      <c r="L28" s="5">
        <f>'CONTABILIDAD &amp; COSTOS'!$J$35</f>
        <v>15000</v>
      </c>
      <c r="M28" s="5">
        <f>'CONTABILIDAD &amp; COSTOS'!$J$35</f>
        <v>15000</v>
      </c>
      <c r="N28" s="5">
        <f>'CONTABILIDAD &amp; COSTOS'!$J$35</f>
        <v>15000</v>
      </c>
      <c r="O28" s="5">
        <f>'CONTABILIDAD &amp; COSTOS'!$J$35</f>
        <v>15000</v>
      </c>
      <c r="P28" s="5">
        <f>'CONTABILIDAD &amp; COSTOS'!$J$35</f>
        <v>15000</v>
      </c>
      <c r="Q28" s="5">
        <f>'CONTABILIDAD &amp; COSTOS'!$J$35</f>
        <v>15000</v>
      </c>
      <c r="R28" s="5">
        <f>'CONTABILIDAD &amp; COSTOS'!$J$35</f>
        <v>15000</v>
      </c>
      <c r="S28" s="5">
        <f t="shared" si="1"/>
        <v>180000</v>
      </c>
    </row>
    <row r="29" spans="2:19" x14ac:dyDescent="0.35">
      <c r="B29">
        <v>100</v>
      </c>
      <c r="C29" t="s">
        <v>157</v>
      </c>
      <c r="D29" t="s">
        <v>100</v>
      </c>
      <c r="E29">
        <v>1003102</v>
      </c>
      <c r="F29" t="s">
        <v>90</v>
      </c>
      <c r="G29" s="5">
        <f>'CONTABILIDAD &amp; COSTOS'!$J$47</f>
        <v>250</v>
      </c>
      <c r="H29" s="5">
        <f>'CONTABILIDAD &amp; COSTOS'!$J$47</f>
        <v>250</v>
      </c>
      <c r="I29" s="5">
        <f>'CONTABILIDAD &amp; COSTOS'!$J$47</f>
        <v>250</v>
      </c>
      <c r="J29" s="5">
        <f>'CONTABILIDAD &amp; COSTOS'!$J$47</f>
        <v>250</v>
      </c>
      <c r="K29" s="5">
        <f>'CONTABILIDAD &amp; COSTOS'!$J$47</f>
        <v>250</v>
      </c>
      <c r="L29" s="5">
        <f>'CONTABILIDAD &amp; COSTOS'!$J$47</f>
        <v>250</v>
      </c>
      <c r="M29" s="5">
        <f>'CONTABILIDAD &amp; COSTOS'!$J$47</f>
        <v>250</v>
      </c>
      <c r="N29" s="5">
        <f>'CONTABILIDAD &amp; COSTOS'!$J$47</f>
        <v>250</v>
      </c>
      <c r="O29" s="5">
        <f>'CONTABILIDAD &amp; COSTOS'!$J$47</f>
        <v>250</v>
      </c>
      <c r="P29" s="5">
        <f>'CONTABILIDAD &amp; COSTOS'!$J$47</f>
        <v>250</v>
      </c>
      <c r="Q29" s="5">
        <f>'CONTABILIDAD &amp; COSTOS'!$J$47</f>
        <v>250</v>
      </c>
      <c r="R29" s="5">
        <f>'CONTABILIDAD &amp; COSTOS'!$J$47</f>
        <v>250</v>
      </c>
      <c r="S29" s="5">
        <f t="shared" si="1"/>
        <v>3000</v>
      </c>
    </row>
    <row r="30" spans="2:19" x14ac:dyDescent="0.35">
      <c r="B30">
        <v>100</v>
      </c>
      <c r="C30" t="s">
        <v>157</v>
      </c>
      <c r="D30" t="s">
        <v>100</v>
      </c>
      <c r="E30">
        <v>1003103</v>
      </c>
      <c r="F30" t="s">
        <v>91</v>
      </c>
      <c r="G30" s="5">
        <f>'CONTABILIDAD &amp; COSTOS'!$J$59</f>
        <v>175</v>
      </c>
      <c r="H30" s="5">
        <f>'CONTABILIDAD &amp; COSTOS'!$J$59</f>
        <v>175</v>
      </c>
      <c r="I30" s="5">
        <f>'CONTABILIDAD &amp; COSTOS'!$J$59</f>
        <v>175</v>
      </c>
      <c r="J30" s="5">
        <f>'CONTABILIDAD &amp; COSTOS'!$J$59</f>
        <v>175</v>
      </c>
      <c r="K30" s="5">
        <f>'CONTABILIDAD &amp; COSTOS'!$J$59</f>
        <v>175</v>
      </c>
      <c r="L30" s="5">
        <f>'CONTABILIDAD &amp; COSTOS'!$J$59</f>
        <v>175</v>
      </c>
      <c r="M30" s="5">
        <f>'CONTABILIDAD &amp; COSTOS'!$J$59</f>
        <v>175</v>
      </c>
      <c r="N30" s="5">
        <f>'CONTABILIDAD &amp; COSTOS'!$J$59</f>
        <v>175</v>
      </c>
      <c r="O30" s="5">
        <f>'CONTABILIDAD &amp; COSTOS'!$J$59</f>
        <v>175</v>
      </c>
      <c r="P30" s="5">
        <f>'CONTABILIDAD &amp; COSTOS'!$J$59</f>
        <v>175</v>
      </c>
      <c r="Q30" s="5">
        <f>'CONTABILIDAD &amp; COSTOS'!$J$59</f>
        <v>175</v>
      </c>
      <c r="R30" s="5">
        <f>'CONTABILIDAD &amp; COSTOS'!$J$59</f>
        <v>175</v>
      </c>
      <c r="S30" s="5">
        <f t="shared" si="1"/>
        <v>2100</v>
      </c>
    </row>
    <row r="31" spans="2:19" x14ac:dyDescent="0.35">
      <c r="B31">
        <v>100</v>
      </c>
      <c r="C31" t="s">
        <v>157</v>
      </c>
      <c r="D31" t="s">
        <v>100</v>
      </c>
      <c r="E31">
        <v>1003104</v>
      </c>
      <c r="F31" t="s">
        <v>92</v>
      </c>
      <c r="G31" s="5">
        <f>'CONTABILIDAD &amp; COSTOS'!$J$71</f>
        <v>1200</v>
      </c>
      <c r="H31" s="5">
        <f>'CONTABILIDAD &amp; COSTOS'!$J$71</f>
        <v>1200</v>
      </c>
      <c r="I31" s="5">
        <f>'CONTABILIDAD &amp; COSTOS'!$J$71</f>
        <v>1200</v>
      </c>
      <c r="J31" s="5">
        <f>'CONTABILIDAD &amp; COSTOS'!$J$71</f>
        <v>1200</v>
      </c>
      <c r="K31" s="5">
        <f>'CONTABILIDAD &amp; COSTOS'!$J$71</f>
        <v>1200</v>
      </c>
      <c r="L31" s="5">
        <f>'CONTABILIDAD &amp; COSTOS'!$J$71</f>
        <v>1200</v>
      </c>
      <c r="M31" s="5">
        <f>'CONTABILIDAD &amp; COSTOS'!$J$71</f>
        <v>1200</v>
      </c>
      <c r="N31" s="5">
        <f>'CONTABILIDAD &amp; COSTOS'!$J$71</f>
        <v>1200</v>
      </c>
      <c r="O31" s="5">
        <f>'CONTABILIDAD &amp; COSTOS'!$J$71</f>
        <v>1200</v>
      </c>
      <c r="P31" s="5">
        <f>'CONTABILIDAD &amp; COSTOS'!$J$71</f>
        <v>1200</v>
      </c>
      <c r="Q31" s="5">
        <f>'CONTABILIDAD &amp; COSTOS'!$J$71</f>
        <v>1200</v>
      </c>
      <c r="R31" s="5">
        <f>'CONTABILIDAD &amp; COSTOS'!$J$71</f>
        <v>1200</v>
      </c>
      <c r="S31" s="5">
        <f t="shared" si="1"/>
        <v>14400</v>
      </c>
    </row>
    <row r="32" spans="2:19" x14ac:dyDescent="0.35">
      <c r="C32" t="s">
        <v>96</v>
      </c>
      <c r="G32" s="5">
        <f>SUM(G4:G31)</f>
        <v>206194.56358709678</v>
      </c>
      <c r="H32" s="5">
        <f t="shared" ref="H32:S32" si="5">SUM(H4:H31)</f>
        <v>196137.43867142856</v>
      </c>
      <c r="I32" s="5">
        <f t="shared" si="5"/>
        <v>206194.56358709678</v>
      </c>
      <c r="J32" s="5">
        <f t="shared" si="5"/>
        <v>202840.38849999997</v>
      </c>
      <c r="K32" s="5">
        <f t="shared" si="5"/>
        <v>206194.56358709678</v>
      </c>
      <c r="L32" s="5">
        <f t="shared" si="5"/>
        <v>202840.38849999997</v>
      </c>
      <c r="M32" s="5">
        <f t="shared" si="5"/>
        <v>206194.56358709678</v>
      </c>
      <c r="N32" s="5">
        <f t="shared" si="5"/>
        <v>206194.56358709678</v>
      </c>
      <c r="O32" s="5">
        <f t="shared" si="5"/>
        <v>202840.38849999997</v>
      </c>
      <c r="P32" s="5">
        <f t="shared" si="5"/>
        <v>206194.56358709678</v>
      </c>
      <c r="Q32" s="5">
        <f t="shared" si="5"/>
        <v>202840.38849999997</v>
      </c>
      <c r="R32" s="5">
        <f t="shared" si="5"/>
        <v>206194.56358709678</v>
      </c>
      <c r="S32" s="5">
        <f t="shared" si="5"/>
        <v>2450860.9377811067</v>
      </c>
    </row>
    <row r="33" spans="2:19" x14ac:dyDescent="0.35">
      <c r="S33" s="5"/>
    </row>
    <row r="34" spans="2:19" x14ac:dyDescent="0.35">
      <c r="B34">
        <v>110</v>
      </c>
      <c r="C34" t="s">
        <v>158</v>
      </c>
      <c r="D34" t="s">
        <v>101</v>
      </c>
      <c r="E34">
        <v>1001001</v>
      </c>
      <c r="F34" t="s">
        <v>73</v>
      </c>
      <c r="G34" s="7">
        <f>SUM('REC HUMANOS'!F13:F18)*G2</f>
        <v>58590</v>
      </c>
      <c r="H34" s="7">
        <f>$G$34/$G$2*H2</f>
        <v>52920</v>
      </c>
      <c r="I34" s="7">
        <f t="shared" ref="I34:R34" si="6">$G$34/$G$2*I2</f>
        <v>58590</v>
      </c>
      <c r="J34" s="7">
        <f t="shared" si="6"/>
        <v>56700</v>
      </c>
      <c r="K34" s="7">
        <f t="shared" si="6"/>
        <v>58590</v>
      </c>
      <c r="L34" s="7">
        <f t="shared" si="6"/>
        <v>56700</v>
      </c>
      <c r="M34" s="7">
        <f t="shared" si="6"/>
        <v>58590</v>
      </c>
      <c r="N34" s="7">
        <f t="shared" si="6"/>
        <v>58590</v>
      </c>
      <c r="O34" s="7">
        <f t="shared" si="6"/>
        <v>56700</v>
      </c>
      <c r="P34" s="7">
        <f t="shared" si="6"/>
        <v>58590</v>
      </c>
      <c r="Q34" s="7">
        <f t="shared" si="6"/>
        <v>56700</v>
      </c>
      <c r="R34" s="7">
        <f t="shared" si="6"/>
        <v>58590</v>
      </c>
      <c r="S34" s="5">
        <f t="shared" si="1"/>
        <v>689850</v>
      </c>
    </row>
    <row r="35" spans="2:19" x14ac:dyDescent="0.35">
      <c r="B35">
        <v>110</v>
      </c>
      <c r="C35" t="s">
        <v>158</v>
      </c>
      <c r="D35" t="s">
        <v>101</v>
      </c>
      <c r="E35">
        <v>1001002</v>
      </c>
      <c r="F35" t="s">
        <v>74</v>
      </c>
      <c r="S35" s="5">
        <f t="shared" si="1"/>
        <v>0</v>
      </c>
    </row>
    <row r="36" spans="2:19" x14ac:dyDescent="0.35">
      <c r="B36">
        <v>110</v>
      </c>
      <c r="C36" t="s">
        <v>158</v>
      </c>
      <c r="D36" t="s">
        <v>101</v>
      </c>
      <c r="E36">
        <v>1001003</v>
      </c>
      <c r="F36" t="s">
        <v>77</v>
      </c>
      <c r="S36" s="5">
        <f t="shared" si="1"/>
        <v>0</v>
      </c>
    </row>
    <row r="37" spans="2:19" x14ac:dyDescent="0.35">
      <c r="B37">
        <v>110</v>
      </c>
      <c r="C37" t="s">
        <v>158</v>
      </c>
      <c r="D37" t="s">
        <v>101</v>
      </c>
      <c r="E37">
        <v>1001004</v>
      </c>
      <c r="F37" t="s">
        <v>75</v>
      </c>
      <c r="G37" s="5">
        <f>(((G34/G2)*15)/12)*'REC HUMANOS'!$K$6</f>
        <v>590.625</v>
      </c>
      <c r="H37" s="5">
        <f>(((H34/H2)*15)/12)*'REC HUMANOS'!$K$6</f>
        <v>590.625</v>
      </c>
      <c r="I37" s="5">
        <f>(((I34/I2)*15)/12)*'REC HUMANOS'!$K$6</f>
        <v>590.625</v>
      </c>
      <c r="J37" s="5">
        <f>(((J34/J2)*15)/12)*'REC HUMANOS'!$K$6</f>
        <v>590.625</v>
      </c>
      <c r="K37" s="5">
        <f>(((K34/K2)*15)/12)*'REC HUMANOS'!$K$6</f>
        <v>590.625</v>
      </c>
      <c r="L37" s="5">
        <f>(((L34/L2)*15)/12)*'REC HUMANOS'!$K$6</f>
        <v>590.625</v>
      </c>
      <c r="M37" s="5">
        <f>(((M34/M2)*15)/12)*'REC HUMANOS'!$K$6</f>
        <v>590.625</v>
      </c>
      <c r="N37" s="5">
        <f>(((N34/N2)*15)/12)*'REC HUMANOS'!$K$6</f>
        <v>590.625</v>
      </c>
      <c r="O37" s="5">
        <f>(((O34/O2)*15)/12)*'REC HUMANOS'!$K$6</f>
        <v>590.625</v>
      </c>
      <c r="P37" s="5">
        <f>(((P34/P2)*15)/12)*'REC HUMANOS'!$K$6</f>
        <v>590.625</v>
      </c>
      <c r="Q37" s="5">
        <f>(((Q34/Q2)*15)/12)*'REC HUMANOS'!$K$6</f>
        <v>590.625</v>
      </c>
      <c r="R37" s="5">
        <f>(((R34/R2)*15)/12)*'REC HUMANOS'!$K$6</f>
        <v>590.625</v>
      </c>
      <c r="S37" s="5">
        <f t="shared" si="1"/>
        <v>7087.5</v>
      </c>
    </row>
    <row r="38" spans="2:19" x14ac:dyDescent="0.35">
      <c r="B38">
        <v>110</v>
      </c>
      <c r="C38" t="s">
        <v>158</v>
      </c>
      <c r="D38" t="s">
        <v>101</v>
      </c>
      <c r="E38">
        <v>1001005</v>
      </c>
      <c r="F38" t="s">
        <v>76</v>
      </c>
      <c r="G38" s="5">
        <f>(((G34/G2)*'REC HUMANOS'!$K$4)/12)</f>
        <v>2362.5</v>
      </c>
      <c r="H38" s="5">
        <f>(((H34/H2)*'REC HUMANOS'!$K$4)/12)</f>
        <v>2362.5</v>
      </c>
      <c r="I38" s="5">
        <f>(((I34/I2)*'REC HUMANOS'!$K$4)/12)</f>
        <v>2362.5</v>
      </c>
      <c r="J38" s="5">
        <f>(((J34/J2)*'REC HUMANOS'!$K$4)/12)</f>
        <v>2362.5</v>
      </c>
      <c r="K38" s="5">
        <f>(((K34/K2)*'REC HUMANOS'!$K$4)/12)</f>
        <v>2362.5</v>
      </c>
      <c r="L38" s="5">
        <f>(((L34/L2)*'REC HUMANOS'!$K$4)/12)</f>
        <v>2362.5</v>
      </c>
      <c r="M38" s="5">
        <f>(((M34/M2)*'REC HUMANOS'!$K$4)/12)</f>
        <v>2362.5</v>
      </c>
      <c r="N38" s="5">
        <f>(((N34/N2)*'REC HUMANOS'!$K$4)/12)</f>
        <v>2362.5</v>
      </c>
      <c r="O38" s="5">
        <f>(((O34/O2)*'REC HUMANOS'!$K$4)/12)</f>
        <v>2362.5</v>
      </c>
      <c r="P38" s="5">
        <f>(((P34/P2)*'REC HUMANOS'!$K$4)/12)</f>
        <v>2362.5</v>
      </c>
      <c r="Q38" s="5">
        <f>(((Q34/Q2)*'REC HUMANOS'!$K$4)/12)</f>
        <v>2362.5</v>
      </c>
      <c r="R38" s="5">
        <f>(((R34/R2)*'REC HUMANOS'!$K$4)/12)</f>
        <v>2362.5</v>
      </c>
      <c r="S38" s="5">
        <f t="shared" si="1"/>
        <v>28350</v>
      </c>
    </row>
    <row r="39" spans="2:19" x14ac:dyDescent="0.35">
      <c r="B39">
        <v>110</v>
      </c>
      <c r="C39" t="s">
        <v>158</v>
      </c>
      <c r="D39" t="s">
        <v>101</v>
      </c>
      <c r="E39">
        <v>1001006</v>
      </c>
      <c r="F39" t="s">
        <v>78</v>
      </c>
      <c r="G39" s="2">
        <f>(G34*'REC HUMANOS'!$G$2)*'REC HUMANOS'!$K$9</f>
        <v>12295.697399999999</v>
      </c>
      <c r="H39" s="2">
        <f>(H34*'REC HUMANOS'!$G$2)*'REC HUMANOS'!$K$9</f>
        <v>11105.7912</v>
      </c>
      <c r="I39" s="2">
        <f>(I34*'REC HUMANOS'!$G$2)*'REC HUMANOS'!$K$9</f>
        <v>12295.697399999999</v>
      </c>
      <c r="J39" s="2">
        <f>(J34*'REC HUMANOS'!$G$2)*'REC HUMANOS'!$K$9</f>
        <v>11899.062</v>
      </c>
      <c r="K39" s="2">
        <f>(K34*'REC HUMANOS'!$G$2)*'REC HUMANOS'!$K$9</f>
        <v>12295.697399999999</v>
      </c>
      <c r="L39" s="2">
        <f>(L34*'REC HUMANOS'!$G$2)*'REC HUMANOS'!$K$9</f>
        <v>11899.062</v>
      </c>
      <c r="M39" s="2">
        <f>(M34*'REC HUMANOS'!$G$2)*'REC HUMANOS'!$K$9</f>
        <v>12295.697399999999</v>
      </c>
      <c r="N39" s="2">
        <f>(N34*'REC HUMANOS'!$G$2)*'REC HUMANOS'!$K$9</f>
        <v>12295.697399999999</v>
      </c>
      <c r="O39" s="2">
        <f>(O34*'REC HUMANOS'!$G$2)*'REC HUMANOS'!$K$9</f>
        <v>11899.062</v>
      </c>
      <c r="P39" s="2">
        <f>(P34*'REC HUMANOS'!$G$2)*'REC HUMANOS'!$K$9</f>
        <v>12295.697399999999</v>
      </c>
      <c r="Q39" s="2">
        <f>(Q34*'REC HUMANOS'!$G$2)*'REC HUMANOS'!$K$9</f>
        <v>11899.062</v>
      </c>
      <c r="R39" s="2">
        <f>(R34*'REC HUMANOS'!$G$2)*'REC HUMANOS'!$K$9</f>
        <v>12295.697399999999</v>
      </c>
      <c r="S39" s="5">
        <f t="shared" si="1"/>
        <v>144771.921</v>
      </c>
    </row>
    <row r="40" spans="2:19" x14ac:dyDescent="0.35">
      <c r="B40">
        <v>110</v>
      </c>
      <c r="C40" t="s">
        <v>158</v>
      </c>
      <c r="D40" t="s">
        <v>101</v>
      </c>
      <c r="E40">
        <v>1001007</v>
      </c>
      <c r="F40" t="s">
        <v>79</v>
      </c>
      <c r="G40" s="2">
        <f>(G34*'REC HUMANOS'!$G$2)*'REC HUMANOS'!$K$10</f>
        <v>2766.5319149999996</v>
      </c>
      <c r="H40" s="2">
        <f>(H34*'REC HUMANOS'!$G$2)*'REC HUMANOS'!$K$10</f>
        <v>2498.8030199999998</v>
      </c>
      <c r="I40" s="2">
        <f>(I34*'REC HUMANOS'!$G$2)*'REC HUMANOS'!$K$10</f>
        <v>2766.5319149999996</v>
      </c>
      <c r="J40" s="2">
        <f>(J34*'REC HUMANOS'!$G$2)*'REC HUMANOS'!$K$10</f>
        <v>2677.2889499999997</v>
      </c>
      <c r="K40" s="2">
        <f>(K34*'REC HUMANOS'!$G$2)*'REC HUMANOS'!$K$10</f>
        <v>2766.5319149999996</v>
      </c>
      <c r="L40" s="2">
        <f>(L34*'REC HUMANOS'!$G$2)*'REC HUMANOS'!$K$10</f>
        <v>2677.2889499999997</v>
      </c>
      <c r="M40" s="2">
        <f>(M34*'REC HUMANOS'!$G$2)*'REC HUMANOS'!$K$10</f>
        <v>2766.5319149999996</v>
      </c>
      <c r="N40" s="2">
        <f>(N34*'REC HUMANOS'!$G$2)*'REC HUMANOS'!$K$10</f>
        <v>2766.5319149999996</v>
      </c>
      <c r="O40" s="2">
        <f>(O34*'REC HUMANOS'!$G$2)*'REC HUMANOS'!$K$10</f>
        <v>2677.2889499999997</v>
      </c>
      <c r="P40" s="2">
        <f>(P34*'REC HUMANOS'!$G$2)*'REC HUMANOS'!$K$10</f>
        <v>2766.5319149999996</v>
      </c>
      <c r="Q40" s="2">
        <f>(Q34*'REC HUMANOS'!$G$2)*'REC HUMANOS'!$K$10</f>
        <v>2677.2889499999997</v>
      </c>
      <c r="R40" s="2">
        <f>(R34*'REC HUMANOS'!$G$2)*'REC HUMANOS'!$K$10</f>
        <v>2766.5319149999996</v>
      </c>
      <c r="S40" s="5">
        <f t="shared" si="1"/>
        <v>32573.682224999993</v>
      </c>
    </row>
    <row r="41" spans="2:19" x14ac:dyDescent="0.35">
      <c r="B41">
        <v>110</v>
      </c>
      <c r="C41" t="s">
        <v>158</v>
      </c>
      <c r="D41" t="s">
        <v>101</v>
      </c>
      <c r="E41">
        <v>1001008</v>
      </c>
      <c r="F41" t="s">
        <v>81</v>
      </c>
      <c r="G41" s="2">
        <f>(G34*'REC HUMANOS'!$G$2)*'REC HUMANOS'!$K$11</f>
        <v>3073.9243499999998</v>
      </c>
      <c r="H41" s="2">
        <f>(H34*'REC HUMANOS'!$G$2)*'REC HUMANOS'!$K$11</f>
        <v>2776.4477999999999</v>
      </c>
      <c r="I41" s="2">
        <f>(I34*'REC HUMANOS'!$G$2)*'REC HUMANOS'!$K$11</f>
        <v>3073.9243499999998</v>
      </c>
      <c r="J41" s="2">
        <f>(J34*'REC HUMANOS'!$G$2)*'REC HUMANOS'!$K$11</f>
        <v>2974.7655</v>
      </c>
      <c r="K41" s="2">
        <f>(K34*'REC HUMANOS'!$G$2)*'REC HUMANOS'!$K$11</f>
        <v>3073.9243499999998</v>
      </c>
      <c r="L41" s="2">
        <f>(L34*'REC HUMANOS'!$G$2)*'REC HUMANOS'!$K$11</f>
        <v>2974.7655</v>
      </c>
      <c r="M41" s="2">
        <f>(M34*'REC HUMANOS'!$G$2)*'REC HUMANOS'!$K$11</f>
        <v>3073.9243499999998</v>
      </c>
      <c r="N41" s="2">
        <f>(N34*'REC HUMANOS'!$G$2)*'REC HUMANOS'!$K$11</f>
        <v>3073.9243499999998</v>
      </c>
      <c r="O41" s="2">
        <f>(O34*'REC HUMANOS'!$G$2)*'REC HUMANOS'!$K$11</f>
        <v>2974.7655</v>
      </c>
      <c r="P41" s="2">
        <f>(P34*'REC HUMANOS'!$G$2)*'REC HUMANOS'!$K$11</f>
        <v>3073.9243499999998</v>
      </c>
      <c r="Q41" s="2">
        <f>(Q34*'REC HUMANOS'!$G$2)*'REC HUMANOS'!$K$11</f>
        <v>2974.7655</v>
      </c>
      <c r="R41" s="2">
        <f>(R34*'REC HUMANOS'!$G$2)*'REC HUMANOS'!$K$11</f>
        <v>3073.9243499999998</v>
      </c>
      <c r="S41" s="5">
        <f t="shared" si="1"/>
        <v>36192.980250000001</v>
      </c>
    </row>
    <row r="42" spans="2:19" x14ac:dyDescent="0.35">
      <c r="B42">
        <v>110</v>
      </c>
      <c r="C42" t="s">
        <v>158</v>
      </c>
      <c r="D42" t="s">
        <v>101</v>
      </c>
      <c r="E42">
        <v>1001009</v>
      </c>
      <c r="F42" t="s">
        <v>80</v>
      </c>
      <c r="G42" s="2">
        <f>(G34*'REC HUMANOS'!$G$2)*'REC HUMANOS'!$K$14</f>
        <v>1844.3546099999996</v>
      </c>
      <c r="H42" s="2">
        <f>(H34*'REC HUMANOS'!$G$2)*'REC HUMANOS'!$K$14</f>
        <v>1665.8686799999998</v>
      </c>
      <c r="I42" s="2">
        <f>(I34*'REC HUMANOS'!$G$2)*'REC HUMANOS'!$K$14</f>
        <v>1844.3546099999996</v>
      </c>
      <c r="J42" s="2">
        <f>(J34*'REC HUMANOS'!$G$2)*'REC HUMANOS'!$K$14</f>
        <v>1784.8592999999998</v>
      </c>
      <c r="K42" s="2">
        <f>(K34*'REC HUMANOS'!$G$2)*'REC HUMANOS'!$K$14</f>
        <v>1844.3546099999996</v>
      </c>
      <c r="L42" s="2">
        <f>(L34*'REC HUMANOS'!$G$2)*'REC HUMANOS'!$K$14</f>
        <v>1784.8592999999998</v>
      </c>
      <c r="M42" s="2">
        <f>(M34*'REC HUMANOS'!$G$2)*'REC HUMANOS'!$K$14</f>
        <v>1844.3546099999996</v>
      </c>
      <c r="N42" s="2">
        <f>(N34*'REC HUMANOS'!$G$2)*'REC HUMANOS'!$K$14</f>
        <v>1844.3546099999996</v>
      </c>
      <c r="O42" s="2">
        <f>(O34*'REC HUMANOS'!$G$2)*'REC HUMANOS'!$K$14</f>
        <v>1784.8592999999998</v>
      </c>
      <c r="P42" s="2">
        <f>(P34*'REC HUMANOS'!$G$2)*'REC HUMANOS'!$K$14</f>
        <v>1844.3546099999996</v>
      </c>
      <c r="Q42" s="2">
        <f>(Q34*'REC HUMANOS'!$G$2)*'REC HUMANOS'!$K$14</f>
        <v>1784.8592999999998</v>
      </c>
      <c r="R42" s="2">
        <f>(R34*'REC HUMANOS'!$G$2)*'REC HUMANOS'!$K$14</f>
        <v>1844.3546099999996</v>
      </c>
      <c r="S42" s="5">
        <f t="shared" si="1"/>
        <v>21715.788149999997</v>
      </c>
    </row>
    <row r="43" spans="2:19" x14ac:dyDescent="0.35">
      <c r="B43">
        <v>110</v>
      </c>
      <c r="C43" t="s">
        <v>158</v>
      </c>
      <c r="D43" t="s">
        <v>102</v>
      </c>
      <c r="E43">
        <v>1002001</v>
      </c>
      <c r="F43" s="11" t="s">
        <v>83</v>
      </c>
      <c r="G43" s="2">
        <v>12000</v>
      </c>
      <c r="H43" s="2">
        <v>12000</v>
      </c>
      <c r="I43" s="2">
        <v>12000</v>
      </c>
      <c r="J43" s="2">
        <v>12000</v>
      </c>
      <c r="K43" s="2">
        <v>12000</v>
      </c>
      <c r="L43" s="2">
        <v>12000</v>
      </c>
      <c r="M43" s="2">
        <v>12000</v>
      </c>
      <c r="N43" s="2">
        <v>12000</v>
      </c>
      <c r="O43" s="2">
        <v>12000</v>
      </c>
      <c r="P43" s="2">
        <v>12000</v>
      </c>
      <c r="Q43" s="2">
        <v>12000</v>
      </c>
      <c r="R43" s="2">
        <v>12000</v>
      </c>
      <c r="S43" s="5">
        <f t="shared" si="1"/>
        <v>144000</v>
      </c>
    </row>
    <row r="44" spans="2:19" x14ac:dyDescent="0.35">
      <c r="B44">
        <v>110</v>
      </c>
      <c r="C44" t="s">
        <v>158</v>
      </c>
      <c r="D44" t="s">
        <v>102</v>
      </c>
      <c r="E44">
        <v>1002002</v>
      </c>
      <c r="F44" s="11" t="s">
        <v>84</v>
      </c>
      <c r="G44" s="2">
        <v>1500</v>
      </c>
      <c r="H44" s="2">
        <v>1500</v>
      </c>
      <c r="I44" s="2">
        <v>1500</v>
      </c>
      <c r="J44" s="2">
        <v>1500</v>
      </c>
      <c r="K44" s="2">
        <v>1500</v>
      </c>
      <c r="L44" s="2">
        <v>1500</v>
      </c>
      <c r="M44" s="2">
        <v>1500</v>
      </c>
      <c r="N44" s="2">
        <v>1500</v>
      </c>
      <c r="O44" s="2">
        <v>1500</v>
      </c>
      <c r="P44" s="2">
        <v>1500</v>
      </c>
      <c r="Q44" s="2">
        <v>1500</v>
      </c>
      <c r="R44" s="2">
        <v>1500</v>
      </c>
      <c r="S44" s="5">
        <f t="shared" si="1"/>
        <v>18000</v>
      </c>
    </row>
    <row r="45" spans="2:19" x14ac:dyDescent="0.35">
      <c r="B45">
        <v>110</v>
      </c>
      <c r="C45" t="s">
        <v>158</v>
      </c>
      <c r="D45" t="s">
        <v>102</v>
      </c>
      <c r="E45">
        <v>1002003</v>
      </c>
      <c r="F45" s="11" t="s">
        <v>85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5">
        <f t="shared" si="1"/>
        <v>0</v>
      </c>
    </row>
    <row r="46" spans="2:19" x14ac:dyDescent="0.35">
      <c r="B46">
        <v>110</v>
      </c>
      <c r="C46" t="s">
        <v>158</v>
      </c>
      <c r="D46" t="s">
        <v>102</v>
      </c>
      <c r="E46">
        <v>1002004</v>
      </c>
      <c r="F46" s="11" t="s">
        <v>86</v>
      </c>
      <c r="G46" s="2">
        <v>1200</v>
      </c>
      <c r="H46" s="2">
        <v>1200</v>
      </c>
      <c r="I46" s="2">
        <v>1200</v>
      </c>
      <c r="J46" s="2">
        <v>1200</v>
      </c>
      <c r="K46" s="2">
        <v>1200</v>
      </c>
      <c r="L46" s="2">
        <v>1200</v>
      </c>
      <c r="M46" s="2">
        <v>1200</v>
      </c>
      <c r="N46" s="2">
        <v>1200</v>
      </c>
      <c r="O46" s="2">
        <v>1200</v>
      </c>
      <c r="P46" s="2">
        <v>1200</v>
      </c>
      <c r="Q46" s="2">
        <v>1200</v>
      </c>
      <c r="R46" s="2">
        <v>1200</v>
      </c>
      <c r="S46" s="5">
        <f t="shared" si="1"/>
        <v>14400</v>
      </c>
    </row>
    <row r="47" spans="2:19" x14ac:dyDescent="0.35">
      <c r="B47">
        <v>110</v>
      </c>
      <c r="C47" t="s">
        <v>158</v>
      </c>
      <c r="D47" t="s">
        <v>102</v>
      </c>
      <c r="E47">
        <v>1002005</v>
      </c>
      <c r="F47" s="11" t="s">
        <v>87</v>
      </c>
      <c r="G47" s="2">
        <v>800</v>
      </c>
      <c r="H47" s="2">
        <v>800</v>
      </c>
      <c r="I47" s="2">
        <v>800</v>
      </c>
      <c r="J47" s="2">
        <v>800</v>
      </c>
      <c r="K47" s="2">
        <v>800</v>
      </c>
      <c r="L47" s="2">
        <v>800</v>
      </c>
      <c r="M47" s="2">
        <v>800</v>
      </c>
      <c r="N47" s="2">
        <v>800</v>
      </c>
      <c r="O47" s="2">
        <v>800</v>
      </c>
      <c r="P47" s="2">
        <v>800</v>
      </c>
      <c r="Q47" s="2">
        <v>800</v>
      </c>
      <c r="R47" s="2">
        <v>800</v>
      </c>
      <c r="S47" s="5">
        <f t="shared" si="1"/>
        <v>9600</v>
      </c>
    </row>
    <row r="48" spans="2:19" x14ac:dyDescent="0.35">
      <c r="B48">
        <v>110</v>
      </c>
      <c r="C48" t="s">
        <v>158</v>
      </c>
      <c r="D48" t="s">
        <v>102</v>
      </c>
      <c r="E48">
        <v>1002006</v>
      </c>
      <c r="F48" s="11" t="s">
        <v>88</v>
      </c>
      <c r="G48" s="2">
        <v>300</v>
      </c>
      <c r="H48" s="2">
        <v>300</v>
      </c>
      <c r="I48" s="2">
        <v>300</v>
      </c>
      <c r="J48" s="2">
        <v>300</v>
      </c>
      <c r="K48" s="2">
        <v>300</v>
      </c>
      <c r="L48" s="2">
        <v>300</v>
      </c>
      <c r="M48" s="2">
        <v>300</v>
      </c>
      <c r="N48" s="2">
        <v>300</v>
      </c>
      <c r="O48" s="2">
        <v>300</v>
      </c>
      <c r="P48" s="2">
        <v>300</v>
      </c>
      <c r="Q48" s="2">
        <v>300</v>
      </c>
      <c r="R48" s="2">
        <v>300</v>
      </c>
      <c r="S48" s="5">
        <f t="shared" si="1"/>
        <v>3600</v>
      </c>
    </row>
    <row r="49" spans="2:19" x14ac:dyDescent="0.35">
      <c r="B49">
        <v>110</v>
      </c>
      <c r="C49" t="s">
        <v>158</v>
      </c>
      <c r="D49" t="s">
        <v>100</v>
      </c>
      <c r="E49">
        <v>1003001</v>
      </c>
      <c r="F49" t="s">
        <v>82</v>
      </c>
      <c r="G49" s="7">
        <f>'REC HUMANOS'!F19*30</f>
        <v>15000</v>
      </c>
      <c r="H49" s="7">
        <f>G49</f>
        <v>15000</v>
      </c>
      <c r="I49" s="7">
        <f t="shared" ref="I49:R49" si="7">H49</f>
        <v>15000</v>
      </c>
      <c r="J49" s="7">
        <f t="shared" si="7"/>
        <v>15000</v>
      </c>
      <c r="K49" s="7">
        <f t="shared" si="7"/>
        <v>15000</v>
      </c>
      <c r="L49" s="7">
        <f t="shared" si="7"/>
        <v>15000</v>
      </c>
      <c r="M49" s="7">
        <f t="shared" si="7"/>
        <v>15000</v>
      </c>
      <c r="N49" s="7">
        <f t="shared" si="7"/>
        <v>15000</v>
      </c>
      <c r="O49" s="7">
        <f t="shared" si="7"/>
        <v>15000</v>
      </c>
      <c r="P49" s="7">
        <f t="shared" si="7"/>
        <v>15000</v>
      </c>
      <c r="Q49" s="7">
        <f t="shared" si="7"/>
        <v>15000</v>
      </c>
      <c r="R49" s="7">
        <f t="shared" si="7"/>
        <v>15000</v>
      </c>
      <c r="S49" s="5">
        <f t="shared" si="1"/>
        <v>180000</v>
      </c>
    </row>
    <row r="50" spans="2:19" x14ac:dyDescent="0.35">
      <c r="B50">
        <v>110</v>
      </c>
      <c r="C50" t="s">
        <v>158</v>
      </c>
      <c r="D50" t="s">
        <v>100</v>
      </c>
      <c r="E50">
        <v>1003002</v>
      </c>
      <c r="F50" t="s">
        <v>74</v>
      </c>
      <c r="S50" s="5">
        <f t="shared" si="1"/>
        <v>0</v>
      </c>
    </row>
    <row r="51" spans="2:19" x14ac:dyDescent="0.35">
      <c r="B51">
        <v>110</v>
      </c>
      <c r="C51" t="s">
        <v>158</v>
      </c>
      <c r="D51" t="s">
        <v>100</v>
      </c>
      <c r="E51">
        <v>1003003</v>
      </c>
      <c r="F51" t="s">
        <v>77</v>
      </c>
      <c r="S51" s="5">
        <f t="shared" si="1"/>
        <v>0</v>
      </c>
    </row>
    <row r="52" spans="2:19" x14ac:dyDescent="0.35">
      <c r="B52">
        <v>110</v>
      </c>
      <c r="C52" t="s">
        <v>158</v>
      </c>
      <c r="D52" t="s">
        <v>100</v>
      </c>
      <c r="E52">
        <v>1003004</v>
      </c>
      <c r="F52" t="s">
        <v>75</v>
      </c>
      <c r="G52" s="5">
        <f>(((G49/G2)*'REC HUMANOS'!$K$4)/12)*'REC HUMANOS'!$K$6</f>
        <v>151.20967741935485</v>
      </c>
      <c r="H52" s="5">
        <f>(((H49/H2)*'REC HUMANOS'!$K$4)/12)*'REC HUMANOS'!$K$6</f>
        <v>167.41071428571428</v>
      </c>
      <c r="I52" s="5">
        <f>(((I49/I2)*'REC HUMANOS'!$K$4)/12)*'REC HUMANOS'!$K$6</f>
        <v>151.20967741935485</v>
      </c>
      <c r="J52" s="5">
        <f>(((J49/J2)*'REC HUMANOS'!$K$4)/12)*'REC HUMANOS'!$K$6</f>
        <v>156.25</v>
      </c>
      <c r="K52" s="5">
        <f>(((K49/K2)*'REC HUMANOS'!$K$4)/12)*'REC HUMANOS'!$K$6</f>
        <v>151.20967741935485</v>
      </c>
      <c r="L52" s="5">
        <f>(((L49/L2)*'REC HUMANOS'!$K$4)/12)*'REC HUMANOS'!$K$6</f>
        <v>156.25</v>
      </c>
      <c r="M52" s="5">
        <f>(((M49/M2)*'REC HUMANOS'!$K$4)/12)*'REC HUMANOS'!$K$6</f>
        <v>151.20967741935485</v>
      </c>
      <c r="N52" s="5">
        <f>(((N49/N2)*'REC HUMANOS'!$K$4)/12)*'REC HUMANOS'!$K$6</f>
        <v>151.20967741935485</v>
      </c>
      <c r="O52" s="5">
        <f>(((O49/O2)*'REC HUMANOS'!$K$4)/12)*'REC HUMANOS'!$K$6</f>
        <v>156.25</v>
      </c>
      <c r="P52" s="5">
        <f>(((P49/P2)*'REC HUMANOS'!$K$4)/12)*'REC HUMANOS'!$K$6</f>
        <v>151.20967741935485</v>
      </c>
      <c r="Q52" s="5">
        <f>(((Q49/Q2)*'REC HUMANOS'!$K$4)/12)*'REC HUMANOS'!$K$6</f>
        <v>156.25</v>
      </c>
      <c r="R52" s="5">
        <f>(((R49/R2)*'REC HUMANOS'!$K$4)/12)*'REC HUMANOS'!$K$6</f>
        <v>151.20967741935485</v>
      </c>
      <c r="S52" s="5">
        <f t="shared" si="1"/>
        <v>1850.8784562211983</v>
      </c>
    </row>
    <row r="53" spans="2:19" x14ac:dyDescent="0.35">
      <c r="B53">
        <v>110</v>
      </c>
      <c r="C53" t="s">
        <v>158</v>
      </c>
      <c r="D53" t="s">
        <v>100</v>
      </c>
      <c r="E53">
        <v>1003005</v>
      </c>
      <c r="F53" t="s">
        <v>76</v>
      </c>
      <c r="G53" s="5">
        <f>(((G49/G2)*'REC HUMANOS'!$K$4/12))</f>
        <v>604.83870967741939</v>
      </c>
      <c r="H53" s="5">
        <f>(((H49/H2)*'REC HUMANOS'!$K$4/12))</f>
        <v>669.64285714285711</v>
      </c>
      <c r="I53" s="5">
        <f>(((I49/I2)*'REC HUMANOS'!$K$4/12))</f>
        <v>604.83870967741939</v>
      </c>
      <c r="J53" s="5">
        <f>(((J49/J2)*'REC HUMANOS'!$K$4/12))</f>
        <v>625</v>
      </c>
      <c r="K53" s="5">
        <f>(((K49/K2)*'REC HUMANOS'!$K$4/12))</f>
        <v>604.83870967741939</v>
      </c>
      <c r="L53" s="5">
        <f>(((L49/L2)*'REC HUMANOS'!$K$4/12))</f>
        <v>625</v>
      </c>
      <c r="M53" s="5">
        <f>(((M49/M2)*'REC HUMANOS'!$K$4/12))</f>
        <v>604.83870967741939</v>
      </c>
      <c r="N53" s="5">
        <f>(((N49/N2)*'REC HUMANOS'!$K$4/12))</f>
        <v>604.83870967741939</v>
      </c>
      <c r="O53" s="5">
        <f>(((O49/O2)*'REC HUMANOS'!$K$4/12))</f>
        <v>625</v>
      </c>
      <c r="P53" s="5">
        <f>(((P49/P2)*'REC HUMANOS'!$K$4/12))</f>
        <v>604.83870967741939</v>
      </c>
      <c r="Q53" s="5">
        <f>(((Q49/Q2)*'REC HUMANOS'!$K$4/12))</f>
        <v>625</v>
      </c>
      <c r="R53" s="5">
        <f>(((R49/R2)*'REC HUMANOS'!$K$4/12))</f>
        <v>604.83870967741939</v>
      </c>
      <c r="S53" s="5">
        <f t="shared" si="1"/>
        <v>7403.5138248847934</v>
      </c>
    </row>
    <row r="54" spans="2:19" x14ac:dyDescent="0.35">
      <c r="B54">
        <v>110</v>
      </c>
      <c r="C54" t="s">
        <v>158</v>
      </c>
      <c r="D54" t="s">
        <v>100</v>
      </c>
      <c r="E54">
        <v>1003006</v>
      </c>
      <c r="F54" t="s">
        <v>78</v>
      </c>
      <c r="G54" s="2">
        <f>(G49*'REC HUMANOS'!$G$2)*'REC HUMANOS'!$K$9</f>
        <v>3147.8999999999996</v>
      </c>
      <c r="H54" s="2">
        <f>(H49*'REC HUMANOS'!$G$2)*'REC HUMANOS'!$K$9</f>
        <v>3147.8999999999996</v>
      </c>
      <c r="I54" s="2">
        <f>(I49*'REC HUMANOS'!$G$2)*'REC HUMANOS'!$K$9</f>
        <v>3147.8999999999996</v>
      </c>
      <c r="J54" s="2">
        <f>(J49*'REC HUMANOS'!$G$2)*'REC HUMANOS'!$K$9</f>
        <v>3147.8999999999996</v>
      </c>
      <c r="K54" s="2">
        <f>(K49*'REC HUMANOS'!$G$2)*'REC HUMANOS'!$K$9</f>
        <v>3147.8999999999996</v>
      </c>
      <c r="L54" s="2">
        <f>(L49*'REC HUMANOS'!$G$2)*'REC HUMANOS'!$K$9</f>
        <v>3147.8999999999996</v>
      </c>
      <c r="M54" s="2">
        <f>(M49*'REC HUMANOS'!$G$2)*'REC HUMANOS'!$K$9</f>
        <v>3147.8999999999996</v>
      </c>
      <c r="N54" s="2">
        <f>(N49*'REC HUMANOS'!$G$2)*'REC HUMANOS'!$K$9</f>
        <v>3147.8999999999996</v>
      </c>
      <c r="O54" s="2">
        <f>(O49*'REC HUMANOS'!$G$2)*'REC HUMANOS'!$K$9</f>
        <v>3147.8999999999996</v>
      </c>
      <c r="P54" s="2">
        <f>(P49*'REC HUMANOS'!$G$2)*'REC HUMANOS'!$K$9</f>
        <v>3147.8999999999996</v>
      </c>
      <c r="Q54" s="2">
        <f>(Q49*'REC HUMANOS'!$G$2)*'REC HUMANOS'!$K$9</f>
        <v>3147.8999999999996</v>
      </c>
      <c r="R54" s="2">
        <f>(R49*'REC HUMANOS'!$G$2)*'REC HUMANOS'!$K$9</f>
        <v>3147.8999999999996</v>
      </c>
      <c r="S54" s="5">
        <f t="shared" si="1"/>
        <v>37774.800000000003</v>
      </c>
    </row>
    <row r="55" spans="2:19" x14ac:dyDescent="0.35">
      <c r="B55">
        <v>110</v>
      </c>
      <c r="C55" t="s">
        <v>158</v>
      </c>
      <c r="D55" t="s">
        <v>100</v>
      </c>
      <c r="E55">
        <v>1003007</v>
      </c>
      <c r="F55" t="s">
        <v>79</v>
      </c>
      <c r="G55" s="2">
        <f>(G49*'REC HUMANOS'!$G$2)*'REC HUMANOS'!$K$10</f>
        <v>708.27749999999992</v>
      </c>
      <c r="H55" s="2">
        <f>(H49*'REC HUMANOS'!$G$2)*'REC HUMANOS'!$K$10</f>
        <v>708.27749999999992</v>
      </c>
      <c r="I55" s="2">
        <f>(I49*'REC HUMANOS'!$G$2)*'REC HUMANOS'!$K$10</f>
        <v>708.27749999999992</v>
      </c>
      <c r="J55" s="2">
        <f>(J49*'REC HUMANOS'!$G$2)*'REC HUMANOS'!$K$10</f>
        <v>708.27749999999992</v>
      </c>
      <c r="K55" s="2">
        <f>(K49*'REC HUMANOS'!$G$2)*'REC HUMANOS'!$K$10</f>
        <v>708.27749999999992</v>
      </c>
      <c r="L55" s="2">
        <f>(L49*'REC HUMANOS'!$G$2)*'REC HUMANOS'!$K$10</f>
        <v>708.27749999999992</v>
      </c>
      <c r="M55" s="2">
        <f>(M49*'REC HUMANOS'!$G$2)*'REC HUMANOS'!$K$10</f>
        <v>708.27749999999992</v>
      </c>
      <c r="N55" s="2">
        <f>(N49*'REC HUMANOS'!$G$2)*'REC HUMANOS'!$K$10</f>
        <v>708.27749999999992</v>
      </c>
      <c r="O55" s="2">
        <f>(O49*'REC HUMANOS'!$G$2)*'REC HUMANOS'!$K$10</f>
        <v>708.27749999999992</v>
      </c>
      <c r="P55" s="2">
        <f>(P49*'REC HUMANOS'!$G$2)*'REC HUMANOS'!$K$10</f>
        <v>708.27749999999992</v>
      </c>
      <c r="Q55" s="2">
        <f>(Q49*'REC HUMANOS'!$G$2)*'REC HUMANOS'!$K$10</f>
        <v>708.27749999999992</v>
      </c>
      <c r="R55" s="2">
        <f>(R49*'REC HUMANOS'!$G$2)*'REC HUMANOS'!$K$10</f>
        <v>708.27749999999992</v>
      </c>
      <c r="S55" s="5">
        <f t="shared" si="1"/>
        <v>8499.33</v>
      </c>
    </row>
    <row r="56" spans="2:19" x14ac:dyDescent="0.35">
      <c r="B56">
        <v>110</v>
      </c>
      <c r="C56" t="s">
        <v>158</v>
      </c>
      <c r="D56" t="s">
        <v>100</v>
      </c>
      <c r="E56">
        <v>1003008</v>
      </c>
      <c r="F56" t="s">
        <v>81</v>
      </c>
      <c r="G56" s="2">
        <f>(G49*'REC HUMANOS'!$G$2)*'REC HUMANOS'!$K$11</f>
        <v>786.97499999999991</v>
      </c>
      <c r="H56" s="2">
        <f>(H49*'REC HUMANOS'!$G$2)*'REC HUMANOS'!$K$11</f>
        <v>786.97499999999991</v>
      </c>
      <c r="I56" s="2">
        <f>(I49*'REC HUMANOS'!$G$2)*'REC HUMANOS'!$K$11</f>
        <v>786.97499999999991</v>
      </c>
      <c r="J56" s="2">
        <f>(J49*'REC HUMANOS'!$G$2)*'REC HUMANOS'!$K$11</f>
        <v>786.97499999999991</v>
      </c>
      <c r="K56" s="2">
        <f>(K49*'REC HUMANOS'!$G$2)*'REC HUMANOS'!$K$11</f>
        <v>786.97499999999991</v>
      </c>
      <c r="L56" s="2">
        <f>(L49*'REC HUMANOS'!$G$2)*'REC HUMANOS'!$K$11</f>
        <v>786.97499999999991</v>
      </c>
      <c r="M56" s="2">
        <f>(M49*'REC HUMANOS'!$G$2)*'REC HUMANOS'!$K$11</f>
        <v>786.97499999999991</v>
      </c>
      <c r="N56" s="2">
        <f>(N49*'REC HUMANOS'!$G$2)*'REC HUMANOS'!$K$11</f>
        <v>786.97499999999991</v>
      </c>
      <c r="O56" s="2">
        <f>(O49*'REC HUMANOS'!$G$2)*'REC HUMANOS'!$K$11</f>
        <v>786.97499999999991</v>
      </c>
      <c r="P56" s="2">
        <f>(P49*'REC HUMANOS'!$G$2)*'REC HUMANOS'!$K$11</f>
        <v>786.97499999999991</v>
      </c>
      <c r="Q56" s="2">
        <f>(Q49*'REC HUMANOS'!$G$2)*'REC HUMANOS'!$K$11</f>
        <v>786.97499999999991</v>
      </c>
      <c r="R56" s="2">
        <f>(R49*'REC HUMANOS'!$G$2)*'REC HUMANOS'!$K$11</f>
        <v>786.97499999999991</v>
      </c>
      <c r="S56" s="5">
        <f t="shared" si="1"/>
        <v>9443.7000000000007</v>
      </c>
    </row>
    <row r="57" spans="2:19" x14ac:dyDescent="0.35">
      <c r="B57">
        <v>110</v>
      </c>
      <c r="C57" t="s">
        <v>158</v>
      </c>
      <c r="D57" t="s">
        <v>100</v>
      </c>
      <c r="E57">
        <v>1003009</v>
      </c>
      <c r="F57" t="s">
        <v>80</v>
      </c>
      <c r="G57" s="2">
        <f>(G49*'REC HUMANOS'!$G$2)*'REC HUMANOS'!$K$14</f>
        <v>472.18499999999995</v>
      </c>
      <c r="H57" s="2">
        <f>(H49*'REC HUMANOS'!$G$2)*'REC HUMANOS'!$K$14</f>
        <v>472.18499999999995</v>
      </c>
      <c r="I57" s="2">
        <f>(I49*'REC HUMANOS'!$G$2)*'REC HUMANOS'!$K$14</f>
        <v>472.18499999999995</v>
      </c>
      <c r="J57" s="2">
        <f>(J49*'REC HUMANOS'!$G$2)*'REC HUMANOS'!$K$14</f>
        <v>472.18499999999995</v>
      </c>
      <c r="K57" s="2">
        <f>(K49*'REC HUMANOS'!$G$2)*'REC HUMANOS'!$K$14</f>
        <v>472.18499999999995</v>
      </c>
      <c r="L57" s="2">
        <f>(L49*'REC HUMANOS'!$G$2)*'REC HUMANOS'!$K$14</f>
        <v>472.18499999999995</v>
      </c>
      <c r="M57" s="2">
        <f>(M49*'REC HUMANOS'!$G$2)*'REC HUMANOS'!$K$14</f>
        <v>472.18499999999995</v>
      </c>
      <c r="N57" s="2">
        <f>(N49*'REC HUMANOS'!$G$2)*'REC HUMANOS'!$K$14</f>
        <v>472.18499999999995</v>
      </c>
      <c r="O57" s="2">
        <f>(O49*'REC HUMANOS'!$G$2)*'REC HUMANOS'!$K$14</f>
        <v>472.18499999999995</v>
      </c>
      <c r="P57" s="2">
        <f>(P49*'REC HUMANOS'!$G$2)*'REC HUMANOS'!$K$14</f>
        <v>472.18499999999995</v>
      </c>
      <c r="Q57" s="2">
        <f>(Q49*'REC HUMANOS'!$G$2)*'REC HUMANOS'!$K$14</f>
        <v>472.18499999999995</v>
      </c>
      <c r="R57" s="2">
        <f>(R49*'REC HUMANOS'!$G$2)*'REC HUMANOS'!$K$14</f>
        <v>472.18499999999995</v>
      </c>
      <c r="S57" s="5">
        <f t="shared" si="1"/>
        <v>5666.2199999999975</v>
      </c>
    </row>
    <row r="58" spans="2:19" x14ac:dyDescent="0.35">
      <c r="B58">
        <v>110</v>
      </c>
      <c r="C58" t="s">
        <v>158</v>
      </c>
      <c r="D58" t="s">
        <v>100</v>
      </c>
      <c r="E58">
        <v>1003101</v>
      </c>
      <c r="F58" t="s">
        <v>89</v>
      </c>
      <c r="G58" s="5">
        <f>'CONTABILIDAD &amp; COSTOS'!$J$36</f>
        <v>15000</v>
      </c>
      <c r="H58" s="5">
        <f>'CONTABILIDAD &amp; COSTOS'!$J$36</f>
        <v>15000</v>
      </c>
      <c r="I58" s="5">
        <f>'CONTABILIDAD &amp; COSTOS'!$J$36</f>
        <v>15000</v>
      </c>
      <c r="J58" s="5">
        <f>'CONTABILIDAD &amp; COSTOS'!$J$36</f>
        <v>15000</v>
      </c>
      <c r="K58" s="5">
        <f>'CONTABILIDAD &amp; COSTOS'!$J$36</f>
        <v>15000</v>
      </c>
      <c r="L58" s="5">
        <f>'CONTABILIDAD &amp; COSTOS'!$J$36</f>
        <v>15000</v>
      </c>
      <c r="M58" s="5">
        <f>'CONTABILIDAD &amp; COSTOS'!$J$36</f>
        <v>15000</v>
      </c>
      <c r="N58" s="5">
        <f>'CONTABILIDAD &amp; COSTOS'!$J$36</f>
        <v>15000</v>
      </c>
      <c r="O58" s="5">
        <f>'CONTABILIDAD &amp; COSTOS'!$J$36</f>
        <v>15000</v>
      </c>
      <c r="P58" s="5">
        <f>'CONTABILIDAD &amp; COSTOS'!$J$36</f>
        <v>15000</v>
      </c>
      <c r="Q58" s="5">
        <f>'CONTABILIDAD &amp; COSTOS'!$J$36</f>
        <v>15000</v>
      </c>
      <c r="R58" s="5">
        <f>'CONTABILIDAD &amp; COSTOS'!$J$36</f>
        <v>15000</v>
      </c>
      <c r="S58" s="5">
        <f t="shared" si="1"/>
        <v>180000</v>
      </c>
    </row>
    <row r="59" spans="2:19" x14ac:dyDescent="0.35">
      <c r="B59">
        <v>110</v>
      </c>
      <c r="C59" t="s">
        <v>158</v>
      </c>
      <c r="D59" t="s">
        <v>100</v>
      </c>
      <c r="E59">
        <v>1003102</v>
      </c>
      <c r="F59" t="s">
        <v>90</v>
      </c>
      <c r="G59" s="5">
        <f>'CONTABILIDAD &amp; COSTOS'!$J$48</f>
        <v>250</v>
      </c>
      <c r="H59" s="5">
        <f>'CONTABILIDAD &amp; COSTOS'!$J$48</f>
        <v>250</v>
      </c>
      <c r="I59" s="5">
        <f>'CONTABILIDAD &amp; COSTOS'!$J$48</f>
        <v>250</v>
      </c>
      <c r="J59" s="5">
        <f>'CONTABILIDAD &amp; COSTOS'!$J$48</f>
        <v>250</v>
      </c>
      <c r="K59" s="5">
        <f>'CONTABILIDAD &amp; COSTOS'!$J$48</f>
        <v>250</v>
      </c>
      <c r="L59" s="5">
        <f>'CONTABILIDAD &amp; COSTOS'!$J$48</f>
        <v>250</v>
      </c>
      <c r="M59" s="5">
        <f>'CONTABILIDAD &amp; COSTOS'!$J$48</f>
        <v>250</v>
      </c>
      <c r="N59" s="5">
        <f>'CONTABILIDAD &amp; COSTOS'!$J$48</f>
        <v>250</v>
      </c>
      <c r="O59" s="5">
        <f>'CONTABILIDAD &amp; COSTOS'!$J$48</f>
        <v>250</v>
      </c>
      <c r="P59" s="5">
        <f>'CONTABILIDAD &amp; COSTOS'!$J$48</f>
        <v>250</v>
      </c>
      <c r="Q59" s="5">
        <f>'CONTABILIDAD &amp; COSTOS'!$J$48</f>
        <v>250</v>
      </c>
      <c r="R59" s="5">
        <f>'CONTABILIDAD &amp; COSTOS'!$J$48</f>
        <v>250</v>
      </c>
      <c r="S59" s="5">
        <f t="shared" si="1"/>
        <v>3000</v>
      </c>
    </row>
    <row r="60" spans="2:19" x14ac:dyDescent="0.35">
      <c r="B60">
        <v>110</v>
      </c>
      <c r="C60" t="s">
        <v>158</v>
      </c>
      <c r="D60" t="s">
        <v>100</v>
      </c>
      <c r="E60">
        <v>1003103</v>
      </c>
      <c r="F60" t="s">
        <v>91</v>
      </c>
      <c r="G60" s="5">
        <f>'CONTABILIDAD &amp; COSTOS'!$J$60</f>
        <v>175</v>
      </c>
      <c r="H60" s="5">
        <f>'CONTABILIDAD &amp; COSTOS'!$J$60</f>
        <v>175</v>
      </c>
      <c r="I60" s="5">
        <f>'CONTABILIDAD &amp; COSTOS'!$J$60</f>
        <v>175</v>
      </c>
      <c r="J60" s="5">
        <f>'CONTABILIDAD &amp; COSTOS'!$J$60</f>
        <v>175</v>
      </c>
      <c r="K60" s="5">
        <f>'CONTABILIDAD &amp; COSTOS'!$J$60</f>
        <v>175</v>
      </c>
      <c r="L60" s="5">
        <f>'CONTABILIDAD &amp; COSTOS'!$J$60</f>
        <v>175</v>
      </c>
      <c r="M60" s="5">
        <f>'CONTABILIDAD &amp; COSTOS'!$J$60</f>
        <v>175</v>
      </c>
      <c r="N60" s="5">
        <f>'CONTABILIDAD &amp; COSTOS'!$J$60</f>
        <v>175</v>
      </c>
      <c r="O60" s="5">
        <f>'CONTABILIDAD &amp; COSTOS'!$J$60</f>
        <v>175</v>
      </c>
      <c r="P60" s="5">
        <f>'CONTABILIDAD &amp; COSTOS'!$J$60</f>
        <v>175</v>
      </c>
      <c r="Q60" s="5">
        <f>'CONTABILIDAD &amp; COSTOS'!$J$60</f>
        <v>175</v>
      </c>
      <c r="R60" s="5">
        <f>'CONTABILIDAD &amp; COSTOS'!$J$60</f>
        <v>175</v>
      </c>
      <c r="S60" s="5">
        <f t="shared" si="1"/>
        <v>2100</v>
      </c>
    </row>
    <row r="61" spans="2:19" x14ac:dyDescent="0.35">
      <c r="B61">
        <v>110</v>
      </c>
      <c r="C61" t="s">
        <v>158</v>
      </c>
      <c r="D61" t="s">
        <v>100</v>
      </c>
      <c r="E61">
        <v>1003104</v>
      </c>
      <c r="F61" t="s">
        <v>92</v>
      </c>
      <c r="G61" s="5">
        <f>'CONTABILIDAD &amp; COSTOS'!$J$72</f>
        <v>1200</v>
      </c>
      <c r="H61" s="5">
        <f>'CONTABILIDAD &amp; COSTOS'!$J$72</f>
        <v>1200</v>
      </c>
      <c r="I61" s="5">
        <f>'CONTABILIDAD &amp; COSTOS'!$J$72</f>
        <v>1200</v>
      </c>
      <c r="J61" s="5">
        <f>'CONTABILIDAD &amp; COSTOS'!$J$72</f>
        <v>1200</v>
      </c>
      <c r="K61" s="5">
        <f>'CONTABILIDAD &amp; COSTOS'!$J$72</f>
        <v>1200</v>
      </c>
      <c r="L61" s="5">
        <f>'CONTABILIDAD &amp; COSTOS'!$J$72</f>
        <v>1200</v>
      </c>
      <c r="M61" s="5">
        <f>'CONTABILIDAD &amp; COSTOS'!$J$72</f>
        <v>1200</v>
      </c>
      <c r="N61" s="5">
        <f>'CONTABILIDAD &amp; COSTOS'!$J$72</f>
        <v>1200</v>
      </c>
      <c r="O61" s="5">
        <f>'CONTABILIDAD &amp; COSTOS'!$J$72</f>
        <v>1200</v>
      </c>
      <c r="P61" s="5">
        <f>'CONTABILIDAD &amp; COSTOS'!$J$72</f>
        <v>1200</v>
      </c>
      <c r="Q61" s="5">
        <f>'CONTABILIDAD &amp; COSTOS'!$J$72</f>
        <v>1200</v>
      </c>
      <c r="R61" s="5">
        <f>'CONTABILIDAD &amp; COSTOS'!$J$72</f>
        <v>1200</v>
      </c>
      <c r="S61" s="5">
        <f t="shared" si="1"/>
        <v>14400</v>
      </c>
    </row>
    <row r="62" spans="2:19" x14ac:dyDescent="0.35">
      <c r="C62" t="s">
        <v>96</v>
      </c>
      <c r="G62" s="5">
        <f>SUM(G34:G61)</f>
        <v>134820.01916209678</v>
      </c>
      <c r="H62" s="5">
        <f t="shared" ref="H62:S62" si="8">SUM(H34:H61)</f>
        <v>127297.42677142857</v>
      </c>
      <c r="I62" s="5">
        <f t="shared" si="8"/>
        <v>134820.01916209678</v>
      </c>
      <c r="J62" s="5">
        <f t="shared" si="8"/>
        <v>132310.68825000001</v>
      </c>
      <c r="K62" s="5">
        <f t="shared" si="8"/>
        <v>134820.01916209678</v>
      </c>
      <c r="L62" s="5">
        <f t="shared" si="8"/>
        <v>132310.68825000001</v>
      </c>
      <c r="M62" s="5">
        <f t="shared" si="8"/>
        <v>134820.01916209678</v>
      </c>
      <c r="N62" s="5">
        <f t="shared" si="8"/>
        <v>134820.01916209678</v>
      </c>
      <c r="O62" s="5">
        <f t="shared" si="8"/>
        <v>132310.68825000001</v>
      </c>
      <c r="P62" s="5">
        <f t="shared" si="8"/>
        <v>134820.01916209678</v>
      </c>
      <c r="Q62" s="5">
        <f t="shared" si="8"/>
        <v>132310.68825000001</v>
      </c>
      <c r="R62" s="5">
        <f t="shared" si="8"/>
        <v>134820.01916209678</v>
      </c>
      <c r="S62" s="5">
        <f t="shared" si="8"/>
        <v>1600280.3139061062</v>
      </c>
    </row>
    <row r="63" spans="2:19" x14ac:dyDescent="0.35">
      <c r="S63" s="5">
        <f t="shared" si="1"/>
        <v>0</v>
      </c>
    </row>
    <row r="64" spans="2:19" x14ac:dyDescent="0.35">
      <c r="B64">
        <v>120</v>
      </c>
      <c r="C64" t="s">
        <v>159</v>
      </c>
      <c r="D64" t="s">
        <v>101</v>
      </c>
      <c r="E64">
        <v>1001001</v>
      </c>
      <c r="F64" t="s">
        <v>73</v>
      </c>
      <c r="G64" s="5">
        <f>SUM('REC HUMANOS'!F20:F25)*G2</f>
        <v>58590</v>
      </c>
      <c r="H64" s="7">
        <f>$G$64/$G$2*H2</f>
        <v>52920</v>
      </c>
      <c r="I64" s="7">
        <f>$G$64/$G$2*I2</f>
        <v>58590</v>
      </c>
      <c r="J64" s="7">
        <f t="shared" ref="J64:R64" si="9">$G$64/$G$2*J2</f>
        <v>56700</v>
      </c>
      <c r="K64" s="7">
        <f t="shared" si="9"/>
        <v>58590</v>
      </c>
      <c r="L64" s="7">
        <f t="shared" si="9"/>
        <v>56700</v>
      </c>
      <c r="M64" s="7">
        <f t="shared" si="9"/>
        <v>58590</v>
      </c>
      <c r="N64" s="7">
        <f t="shared" si="9"/>
        <v>58590</v>
      </c>
      <c r="O64" s="7">
        <f t="shared" si="9"/>
        <v>56700</v>
      </c>
      <c r="P64" s="7">
        <f t="shared" si="9"/>
        <v>58590</v>
      </c>
      <c r="Q64" s="7">
        <f t="shared" si="9"/>
        <v>56700</v>
      </c>
      <c r="R64" s="7">
        <f t="shared" si="9"/>
        <v>58590</v>
      </c>
      <c r="S64" s="5">
        <f t="shared" si="1"/>
        <v>689850</v>
      </c>
    </row>
    <row r="65" spans="2:19" x14ac:dyDescent="0.35">
      <c r="B65">
        <v>120</v>
      </c>
      <c r="C65" t="s">
        <v>159</v>
      </c>
      <c r="D65" t="s">
        <v>101</v>
      </c>
      <c r="E65">
        <v>1001002</v>
      </c>
      <c r="F65" t="s">
        <v>74</v>
      </c>
      <c r="S65" s="5">
        <f t="shared" si="1"/>
        <v>0</v>
      </c>
    </row>
    <row r="66" spans="2:19" x14ac:dyDescent="0.35">
      <c r="B66">
        <v>120</v>
      </c>
      <c r="C66" t="s">
        <v>159</v>
      </c>
      <c r="D66" t="s">
        <v>101</v>
      </c>
      <c r="E66">
        <v>1001003</v>
      </c>
      <c r="F66" t="s">
        <v>77</v>
      </c>
      <c r="S66" s="5">
        <f t="shared" si="1"/>
        <v>0</v>
      </c>
    </row>
    <row r="67" spans="2:19" x14ac:dyDescent="0.35">
      <c r="B67">
        <v>120</v>
      </c>
      <c r="C67" t="s">
        <v>159</v>
      </c>
      <c r="D67" t="s">
        <v>101</v>
      </c>
      <c r="E67">
        <v>1001004</v>
      </c>
      <c r="F67" t="s">
        <v>75</v>
      </c>
      <c r="G67" s="5">
        <f>(((G64/G2)*'REC HUMANOS'!$K$4)/12)*'REC HUMANOS'!$K$6</f>
        <v>590.625</v>
      </c>
      <c r="H67" s="5">
        <f>(((H64/H2)*'REC HUMANOS'!$K$4)/12)*'REC HUMANOS'!$K$6</f>
        <v>590.625</v>
      </c>
      <c r="I67" s="5">
        <f>(((I64/I2)*'REC HUMANOS'!$K$4)/12)*'REC HUMANOS'!$K$6</f>
        <v>590.625</v>
      </c>
      <c r="J67" s="5">
        <f>(((J64/J2)*'REC HUMANOS'!$K$4)/12)*'REC HUMANOS'!$K$6</f>
        <v>590.625</v>
      </c>
      <c r="K67" s="5">
        <f>(((K64/K2)*'REC HUMANOS'!$K$4)/12)*'REC HUMANOS'!$K$6</f>
        <v>590.625</v>
      </c>
      <c r="L67" s="5">
        <f>(((L64/L2)*'REC HUMANOS'!$K$4)/12)*'REC HUMANOS'!$K$6</f>
        <v>590.625</v>
      </c>
      <c r="M67" s="5">
        <f>(((M64/M2)*'REC HUMANOS'!$K$4)/12)*'REC HUMANOS'!$K$6</f>
        <v>590.625</v>
      </c>
      <c r="N67" s="5">
        <f>(((N64/N2)*'REC HUMANOS'!$K$4)/12)*'REC HUMANOS'!$K$6</f>
        <v>590.625</v>
      </c>
      <c r="O67" s="5">
        <f>(((O64/O2)*'REC HUMANOS'!$K$4)/12)*'REC HUMANOS'!$K$6</f>
        <v>590.625</v>
      </c>
      <c r="P67" s="5">
        <f>(((P64/P2)*'REC HUMANOS'!$K$4)/12)*'REC HUMANOS'!$K$6</f>
        <v>590.625</v>
      </c>
      <c r="Q67" s="5">
        <f>(((Q64/Q2)*'REC HUMANOS'!$K$4)/12)*'REC HUMANOS'!$K$6</f>
        <v>590.625</v>
      </c>
      <c r="R67" s="5">
        <f>(((R64/R2)*'REC HUMANOS'!$K$4)/12)*'REC HUMANOS'!$K$6</f>
        <v>590.625</v>
      </c>
      <c r="S67" s="5">
        <f t="shared" si="1"/>
        <v>7087.5</v>
      </c>
    </row>
    <row r="68" spans="2:19" x14ac:dyDescent="0.35">
      <c r="B68">
        <v>120</v>
      </c>
      <c r="C68" t="s">
        <v>159</v>
      </c>
      <c r="D68" t="s">
        <v>101</v>
      </c>
      <c r="E68">
        <v>1001005</v>
      </c>
      <c r="F68" t="s">
        <v>76</v>
      </c>
      <c r="G68" s="5">
        <f>(((G64/G2)*'REC HUMANOS'!$K$4)/12)</f>
        <v>2362.5</v>
      </c>
      <c r="H68" s="5">
        <f>(((H64/H2)*'REC HUMANOS'!$K$4)/12)</f>
        <v>2362.5</v>
      </c>
      <c r="I68" s="5">
        <f>(((I64/I2)*'REC HUMANOS'!$K$4)/12)</f>
        <v>2362.5</v>
      </c>
      <c r="J68" s="5">
        <f>(((J64/J2)*'REC HUMANOS'!$K$4)/12)</f>
        <v>2362.5</v>
      </c>
      <c r="K68" s="5">
        <f>(((K64/K2)*'REC HUMANOS'!$K$4)/12)</f>
        <v>2362.5</v>
      </c>
      <c r="L68" s="5">
        <f>(((L64/L2)*'REC HUMANOS'!$K$4)/12)</f>
        <v>2362.5</v>
      </c>
      <c r="M68" s="5">
        <f>(((M64/M2)*'REC HUMANOS'!$K$4)/12)</f>
        <v>2362.5</v>
      </c>
      <c r="N68" s="5">
        <f>(((N64/N2)*'REC HUMANOS'!$K$4)/12)</f>
        <v>2362.5</v>
      </c>
      <c r="O68" s="5">
        <f>(((O64/O2)*'REC HUMANOS'!$K$4)/12)</f>
        <v>2362.5</v>
      </c>
      <c r="P68" s="5">
        <f>(((P64/P2)*'REC HUMANOS'!$K$4)/12)</f>
        <v>2362.5</v>
      </c>
      <c r="Q68" s="5">
        <f>(((Q64/Q2)*'REC HUMANOS'!$K$4)/12)</f>
        <v>2362.5</v>
      </c>
      <c r="R68" s="5">
        <f>(((R64/R2)*'REC HUMANOS'!$K$4)/12)</f>
        <v>2362.5</v>
      </c>
      <c r="S68" s="5">
        <f t="shared" si="1"/>
        <v>28350</v>
      </c>
    </row>
    <row r="69" spans="2:19" x14ac:dyDescent="0.35">
      <c r="B69">
        <v>120</v>
      </c>
      <c r="C69" t="s">
        <v>159</v>
      </c>
      <c r="D69" t="s">
        <v>101</v>
      </c>
      <c r="E69">
        <v>1001006</v>
      </c>
      <c r="F69" t="s">
        <v>78</v>
      </c>
      <c r="G69" s="2">
        <f>(G64*'REC HUMANOS'!$G$2)*'REC HUMANOS'!$K$9</f>
        <v>12295.697399999999</v>
      </c>
      <c r="H69" s="2">
        <f>(H64*'REC HUMANOS'!$G$2)*'REC HUMANOS'!$K$9</f>
        <v>11105.7912</v>
      </c>
      <c r="I69" s="2">
        <f>(I64*'REC HUMANOS'!$G$2)*'REC HUMANOS'!$K$9</f>
        <v>12295.697399999999</v>
      </c>
      <c r="J69" s="2">
        <f>(J64*'REC HUMANOS'!$G$2)*'REC HUMANOS'!$K$9</f>
        <v>11899.062</v>
      </c>
      <c r="K69" s="2">
        <f>(K64*'REC HUMANOS'!$G$2)*'REC HUMANOS'!$K$9</f>
        <v>12295.697399999999</v>
      </c>
      <c r="L69" s="2">
        <f>(L64*'REC HUMANOS'!$G$2)*'REC HUMANOS'!$K$9</f>
        <v>11899.062</v>
      </c>
      <c r="M69" s="2">
        <f>(M64*'REC HUMANOS'!$G$2)*'REC HUMANOS'!$K$9</f>
        <v>12295.697399999999</v>
      </c>
      <c r="N69" s="2">
        <f>(N64*'REC HUMANOS'!$G$2)*'REC HUMANOS'!$K$9</f>
        <v>12295.697399999999</v>
      </c>
      <c r="O69" s="2">
        <f>(O64*'REC HUMANOS'!$G$2)*'REC HUMANOS'!$K$9</f>
        <v>11899.062</v>
      </c>
      <c r="P69" s="2">
        <f>(P64*'REC HUMANOS'!$G$2)*'REC HUMANOS'!$K$9</f>
        <v>12295.697399999999</v>
      </c>
      <c r="Q69" s="2">
        <f>(Q64*'REC HUMANOS'!$G$2)*'REC HUMANOS'!$K$9</f>
        <v>11899.062</v>
      </c>
      <c r="R69" s="2">
        <f>(R64*'REC HUMANOS'!$G$2)*'REC HUMANOS'!$K$9</f>
        <v>12295.697399999999</v>
      </c>
      <c r="S69" s="5">
        <f t="shared" ref="S69:S98" si="10">SUM(G69:R69)</f>
        <v>144771.921</v>
      </c>
    </row>
    <row r="70" spans="2:19" x14ac:dyDescent="0.35">
      <c r="B70">
        <v>120</v>
      </c>
      <c r="C70" t="s">
        <v>159</v>
      </c>
      <c r="D70" t="s">
        <v>101</v>
      </c>
      <c r="E70">
        <v>1001007</v>
      </c>
      <c r="F70" t="s">
        <v>79</v>
      </c>
      <c r="G70" s="2">
        <f>(G64*'REC HUMANOS'!$G$2)*'REC HUMANOS'!$K$10</f>
        <v>2766.5319149999996</v>
      </c>
      <c r="H70" s="2">
        <f>(H64*'REC HUMANOS'!$G$2)*'REC HUMANOS'!$K$10</f>
        <v>2498.8030199999998</v>
      </c>
      <c r="I70" s="2">
        <f>(I64*'REC HUMANOS'!$G$2)*'REC HUMANOS'!$K$10</f>
        <v>2766.5319149999996</v>
      </c>
      <c r="J70" s="2">
        <f>(J64*'REC HUMANOS'!$G$2)*'REC HUMANOS'!$K$10</f>
        <v>2677.2889499999997</v>
      </c>
      <c r="K70" s="2">
        <f>(K64*'REC HUMANOS'!$G$2)*'REC HUMANOS'!$K$10</f>
        <v>2766.5319149999996</v>
      </c>
      <c r="L70" s="2">
        <f>(L64*'REC HUMANOS'!$G$2)*'REC HUMANOS'!$K$10</f>
        <v>2677.2889499999997</v>
      </c>
      <c r="M70" s="2">
        <f>(M64*'REC HUMANOS'!$G$2)*'REC HUMANOS'!$K$10</f>
        <v>2766.5319149999996</v>
      </c>
      <c r="N70" s="2">
        <f>(N64*'REC HUMANOS'!$G$2)*'REC HUMANOS'!$K$10</f>
        <v>2766.5319149999996</v>
      </c>
      <c r="O70" s="2">
        <f>(O64*'REC HUMANOS'!$G$2)*'REC HUMANOS'!$K$10</f>
        <v>2677.2889499999997</v>
      </c>
      <c r="P70" s="2">
        <f>(P64*'REC HUMANOS'!$G$2)*'REC HUMANOS'!$K$10</f>
        <v>2766.5319149999996</v>
      </c>
      <c r="Q70" s="2">
        <f>(Q64*'REC HUMANOS'!$G$2)*'REC HUMANOS'!$K$10</f>
        <v>2677.2889499999997</v>
      </c>
      <c r="R70" s="2">
        <f>(R64*'REC HUMANOS'!$G$2)*'REC HUMANOS'!$K$10</f>
        <v>2766.5319149999996</v>
      </c>
      <c r="S70" s="5">
        <f t="shared" si="10"/>
        <v>32573.682224999993</v>
      </c>
    </row>
    <row r="71" spans="2:19" x14ac:dyDescent="0.35">
      <c r="B71">
        <v>120</v>
      </c>
      <c r="C71" t="s">
        <v>159</v>
      </c>
      <c r="D71" t="s">
        <v>101</v>
      </c>
      <c r="E71">
        <v>1001008</v>
      </c>
      <c r="F71" t="s">
        <v>81</v>
      </c>
      <c r="G71" s="2">
        <f>(G64*'REC HUMANOS'!$G$2)*'REC HUMANOS'!$K$11</f>
        <v>3073.9243499999998</v>
      </c>
      <c r="H71" s="2">
        <f>(H64*'REC HUMANOS'!$G$2)*'REC HUMANOS'!$K$11</f>
        <v>2776.4477999999999</v>
      </c>
      <c r="I71" s="2">
        <f>(I64*'REC HUMANOS'!$G$2)*'REC HUMANOS'!$K$11</f>
        <v>3073.9243499999998</v>
      </c>
      <c r="J71" s="2">
        <f>(J64*'REC HUMANOS'!$G$2)*'REC HUMANOS'!$K$11</f>
        <v>2974.7655</v>
      </c>
      <c r="K71" s="2">
        <f>(K64*'REC HUMANOS'!$G$2)*'REC HUMANOS'!$K$11</f>
        <v>3073.9243499999998</v>
      </c>
      <c r="L71" s="2">
        <f>(L64*'REC HUMANOS'!$G$2)*'REC HUMANOS'!$K$11</f>
        <v>2974.7655</v>
      </c>
      <c r="M71" s="2">
        <f>(M64*'REC HUMANOS'!$G$2)*'REC HUMANOS'!$K$11</f>
        <v>3073.9243499999998</v>
      </c>
      <c r="N71" s="2">
        <f>(N64*'REC HUMANOS'!$G$2)*'REC HUMANOS'!$K$11</f>
        <v>3073.9243499999998</v>
      </c>
      <c r="O71" s="2">
        <f>(O64*'REC HUMANOS'!$G$2)*'REC HUMANOS'!$K$11</f>
        <v>2974.7655</v>
      </c>
      <c r="P71" s="2">
        <f>(P64*'REC HUMANOS'!$G$2)*'REC HUMANOS'!$K$11</f>
        <v>3073.9243499999998</v>
      </c>
      <c r="Q71" s="2">
        <f>(Q64*'REC HUMANOS'!$G$2)*'REC HUMANOS'!$K$11</f>
        <v>2974.7655</v>
      </c>
      <c r="R71" s="2">
        <f>(R64*'REC HUMANOS'!$G$2)*'REC HUMANOS'!$K$11</f>
        <v>3073.9243499999998</v>
      </c>
      <c r="S71" s="5">
        <f t="shared" si="10"/>
        <v>36192.980250000001</v>
      </c>
    </row>
    <row r="72" spans="2:19" x14ac:dyDescent="0.35">
      <c r="B72">
        <v>120</v>
      </c>
      <c r="C72" t="s">
        <v>159</v>
      </c>
      <c r="D72" t="s">
        <v>101</v>
      </c>
      <c r="E72">
        <v>1001009</v>
      </c>
      <c r="F72" t="s">
        <v>80</v>
      </c>
      <c r="G72" s="2">
        <f>(G64*'REC HUMANOS'!$G$2)*'REC HUMANOS'!$K$14</f>
        <v>1844.3546099999996</v>
      </c>
      <c r="H72" s="2">
        <f>(H64*'REC HUMANOS'!$G$2)*'REC HUMANOS'!$K$14</f>
        <v>1665.8686799999998</v>
      </c>
      <c r="I72" s="2">
        <f>(I64*'REC HUMANOS'!$G$2)*'REC HUMANOS'!$K$14</f>
        <v>1844.3546099999996</v>
      </c>
      <c r="J72" s="2">
        <f>(J64*'REC HUMANOS'!$G$2)*'REC HUMANOS'!$K$14</f>
        <v>1784.8592999999998</v>
      </c>
      <c r="K72" s="2">
        <f>(K64*'REC HUMANOS'!$G$2)*'REC HUMANOS'!$K$14</f>
        <v>1844.3546099999996</v>
      </c>
      <c r="L72" s="2">
        <f>(L64*'REC HUMANOS'!$G$2)*'REC HUMANOS'!$K$14</f>
        <v>1784.8592999999998</v>
      </c>
      <c r="M72" s="2">
        <f>(M64*'REC HUMANOS'!$G$2)*'REC HUMANOS'!$K$14</f>
        <v>1844.3546099999996</v>
      </c>
      <c r="N72" s="2">
        <f>(N64*'REC HUMANOS'!$G$2)*'REC HUMANOS'!$K$14</f>
        <v>1844.3546099999996</v>
      </c>
      <c r="O72" s="2">
        <f>(O64*'REC HUMANOS'!$G$2)*'REC HUMANOS'!$K$14</f>
        <v>1784.8592999999998</v>
      </c>
      <c r="P72" s="2">
        <f>(P64*'REC HUMANOS'!$G$2)*'REC HUMANOS'!$K$14</f>
        <v>1844.3546099999996</v>
      </c>
      <c r="Q72" s="2">
        <f>(Q64*'REC HUMANOS'!$G$2)*'REC HUMANOS'!$K$14</f>
        <v>1784.8592999999998</v>
      </c>
      <c r="R72" s="2">
        <f>(R64*'REC HUMANOS'!$G$2)*'REC HUMANOS'!$K$14</f>
        <v>1844.3546099999996</v>
      </c>
      <c r="S72" s="5">
        <f t="shared" si="10"/>
        <v>21715.788149999997</v>
      </c>
    </row>
    <row r="73" spans="2:19" x14ac:dyDescent="0.35">
      <c r="B73">
        <v>120</v>
      </c>
      <c r="C73" t="s">
        <v>159</v>
      </c>
      <c r="D73" t="s">
        <v>102</v>
      </c>
      <c r="E73">
        <v>1002001</v>
      </c>
      <c r="F73" s="11" t="s">
        <v>83</v>
      </c>
      <c r="G73" s="2">
        <v>10000</v>
      </c>
      <c r="H73" s="2">
        <v>10000</v>
      </c>
      <c r="I73" s="2">
        <v>10000</v>
      </c>
      <c r="J73" s="2">
        <v>10000</v>
      </c>
      <c r="K73" s="2">
        <v>10000</v>
      </c>
      <c r="L73" s="2">
        <v>10000</v>
      </c>
      <c r="M73" s="2">
        <v>10000</v>
      </c>
      <c r="N73" s="2">
        <v>10000</v>
      </c>
      <c r="O73" s="2">
        <v>10000</v>
      </c>
      <c r="P73" s="2">
        <v>10000</v>
      </c>
      <c r="Q73" s="2">
        <v>10000</v>
      </c>
      <c r="R73" s="2">
        <v>10000</v>
      </c>
      <c r="S73" s="5">
        <f t="shared" si="10"/>
        <v>120000</v>
      </c>
    </row>
    <row r="74" spans="2:19" x14ac:dyDescent="0.35">
      <c r="B74">
        <v>120</v>
      </c>
      <c r="C74" t="s">
        <v>159</v>
      </c>
      <c r="D74" t="s">
        <v>102</v>
      </c>
      <c r="E74">
        <v>1002002</v>
      </c>
      <c r="F74" s="11" t="s">
        <v>84</v>
      </c>
      <c r="G74" s="2">
        <v>1500</v>
      </c>
      <c r="H74" s="2">
        <v>1500</v>
      </c>
      <c r="I74" s="2">
        <v>1500</v>
      </c>
      <c r="J74" s="2">
        <v>1500</v>
      </c>
      <c r="K74" s="2">
        <v>1500</v>
      </c>
      <c r="L74" s="2">
        <v>1500</v>
      </c>
      <c r="M74" s="2">
        <v>1500</v>
      </c>
      <c r="N74" s="2">
        <v>1500</v>
      </c>
      <c r="O74" s="2">
        <v>1500</v>
      </c>
      <c r="P74" s="2">
        <v>1500</v>
      </c>
      <c r="Q74" s="2">
        <v>1500</v>
      </c>
      <c r="R74" s="2">
        <v>1500</v>
      </c>
      <c r="S74" s="5">
        <f t="shared" si="10"/>
        <v>18000</v>
      </c>
    </row>
    <row r="75" spans="2:19" x14ac:dyDescent="0.35">
      <c r="B75">
        <v>120</v>
      </c>
      <c r="C75" t="s">
        <v>159</v>
      </c>
      <c r="D75" t="s">
        <v>102</v>
      </c>
      <c r="E75">
        <v>1002003</v>
      </c>
      <c r="F75" s="11" t="s">
        <v>85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5">
        <f t="shared" si="10"/>
        <v>0</v>
      </c>
    </row>
    <row r="76" spans="2:19" x14ac:dyDescent="0.35">
      <c r="B76">
        <v>120</v>
      </c>
      <c r="C76" t="s">
        <v>159</v>
      </c>
      <c r="D76" t="s">
        <v>102</v>
      </c>
      <c r="E76">
        <v>1002004</v>
      </c>
      <c r="F76" s="11" t="s">
        <v>86</v>
      </c>
      <c r="G76" s="2">
        <v>1200</v>
      </c>
      <c r="H76" s="2">
        <v>1200</v>
      </c>
      <c r="I76" s="2">
        <v>1200</v>
      </c>
      <c r="J76" s="2">
        <v>1200</v>
      </c>
      <c r="K76" s="2">
        <v>1200</v>
      </c>
      <c r="L76" s="2">
        <v>1200</v>
      </c>
      <c r="M76" s="2">
        <v>1200</v>
      </c>
      <c r="N76" s="2">
        <v>1200</v>
      </c>
      <c r="O76" s="2">
        <v>1200</v>
      </c>
      <c r="P76" s="2">
        <v>1200</v>
      </c>
      <c r="Q76" s="2">
        <v>1200</v>
      </c>
      <c r="R76" s="2">
        <v>1200</v>
      </c>
      <c r="S76" s="5">
        <f t="shared" si="10"/>
        <v>14400</v>
      </c>
    </row>
    <row r="77" spans="2:19" x14ac:dyDescent="0.35">
      <c r="B77">
        <v>120</v>
      </c>
      <c r="C77" t="s">
        <v>159</v>
      </c>
      <c r="D77" t="s">
        <v>102</v>
      </c>
      <c r="E77">
        <v>1002005</v>
      </c>
      <c r="F77" s="11" t="s">
        <v>87</v>
      </c>
      <c r="G77" s="2">
        <v>800</v>
      </c>
      <c r="H77" s="2">
        <v>800</v>
      </c>
      <c r="I77" s="2">
        <v>800</v>
      </c>
      <c r="J77" s="2">
        <v>800</v>
      </c>
      <c r="K77" s="2">
        <v>800</v>
      </c>
      <c r="L77" s="2">
        <v>800</v>
      </c>
      <c r="M77" s="2">
        <v>800</v>
      </c>
      <c r="N77" s="2">
        <v>800</v>
      </c>
      <c r="O77" s="2">
        <v>800</v>
      </c>
      <c r="P77" s="2">
        <v>800</v>
      </c>
      <c r="Q77" s="2">
        <v>800</v>
      </c>
      <c r="R77" s="2">
        <v>800</v>
      </c>
      <c r="S77" s="5">
        <f t="shared" si="10"/>
        <v>9600</v>
      </c>
    </row>
    <row r="78" spans="2:19" x14ac:dyDescent="0.35">
      <c r="B78">
        <v>120</v>
      </c>
      <c r="C78" t="s">
        <v>159</v>
      </c>
      <c r="D78" t="s">
        <v>102</v>
      </c>
      <c r="E78">
        <v>1002006</v>
      </c>
      <c r="F78" s="11" t="s">
        <v>88</v>
      </c>
      <c r="G78" s="2">
        <v>300</v>
      </c>
      <c r="H78" s="2">
        <v>300</v>
      </c>
      <c r="I78" s="2">
        <v>300</v>
      </c>
      <c r="J78" s="2">
        <v>300</v>
      </c>
      <c r="K78" s="2">
        <v>300</v>
      </c>
      <c r="L78" s="2">
        <v>300</v>
      </c>
      <c r="M78" s="2">
        <v>300</v>
      </c>
      <c r="N78" s="2">
        <v>300</v>
      </c>
      <c r="O78" s="2">
        <v>300</v>
      </c>
      <c r="P78" s="2">
        <v>300</v>
      </c>
      <c r="Q78" s="2">
        <v>300</v>
      </c>
      <c r="R78" s="2">
        <v>300</v>
      </c>
      <c r="S78" s="5">
        <f t="shared" si="10"/>
        <v>3600</v>
      </c>
    </row>
    <row r="79" spans="2:19" x14ac:dyDescent="0.35">
      <c r="B79">
        <v>120</v>
      </c>
      <c r="C79" t="s">
        <v>159</v>
      </c>
      <c r="D79" t="s">
        <v>100</v>
      </c>
      <c r="E79">
        <v>1003001</v>
      </c>
      <c r="F79" t="s">
        <v>82</v>
      </c>
      <c r="G79" s="7">
        <f>'REC HUMANOS'!F26*30</f>
        <v>15000</v>
      </c>
      <c r="H79" s="7">
        <f>G79</f>
        <v>15000</v>
      </c>
      <c r="I79" s="7">
        <f t="shared" ref="I79:R79" si="11">H79</f>
        <v>15000</v>
      </c>
      <c r="J79" s="7">
        <f t="shared" si="11"/>
        <v>15000</v>
      </c>
      <c r="K79" s="7">
        <f t="shared" si="11"/>
        <v>15000</v>
      </c>
      <c r="L79" s="7">
        <f t="shared" si="11"/>
        <v>15000</v>
      </c>
      <c r="M79" s="7">
        <f t="shared" si="11"/>
        <v>15000</v>
      </c>
      <c r="N79" s="7">
        <f t="shared" si="11"/>
        <v>15000</v>
      </c>
      <c r="O79" s="7">
        <f t="shared" si="11"/>
        <v>15000</v>
      </c>
      <c r="P79" s="7">
        <f t="shared" si="11"/>
        <v>15000</v>
      </c>
      <c r="Q79" s="7">
        <f t="shared" si="11"/>
        <v>15000</v>
      </c>
      <c r="R79" s="7">
        <f t="shared" si="11"/>
        <v>15000</v>
      </c>
      <c r="S79" s="5">
        <f t="shared" si="10"/>
        <v>180000</v>
      </c>
    </row>
    <row r="80" spans="2:19" x14ac:dyDescent="0.35">
      <c r="B80">
        <v>120</v>
      </c>
      <c r="C80" t="s">
        <v>159</v>
      </c>
      <c r="D80" t="s">
        <v>100</v>
      </c>
      <c r="E80">
        <v>1003002</v>
      </c>
      <c r="F80" t="s">
        <v>74</v>
      </c>
      <c r="S80" s="5">
        <f t="shared" si="10"/>
        <v>0</v>
      </c>
    </row>
    <row r="81" spans="2:19" x14ac:dyDescent="0.35">
      <c r="B81">
        <v>120</v>
      </c>
      <c r="C81" t="s">
        <v>159</v>
      </c>
      <c r="D81" t="s">
        <v>100</v>
      </c>
      <c r="E81">
        <v>1003003</v>
      </c>
      <c r="F81" t="s">
        <v>77</v>
      </c>
      <c r="S81" s="5">
        <f t="shared" si="10"/>
        <v>0</v>
      </c>
    </row>
    <row r="82" spans="2:19" x14ac:dyDescent="0.35">
      <c r="B82">
        <v>120</v>
      </c>
      <c r="C82" t="s">
        <v>159</v>
      </c>
      <c r="D82" t="s">
        <v>100</v>
      </c>
      <c r="E82">
        <v>1003004</v>
      </c>
      <c r="F82" t="s">
        <v>75</v>
      </c>
      <c r="G82" s="5">
        <f>(((G79/G2)*'REC HUMANOS'!$K$4)/12)*'REC HUMANOS'!$K$6</f>
        <v>151.20967741935485</v>
      </c>
      <c r="H82" s="5">
        <f>(((H79/H2)*'REC HUMANOS'!$K$4)/12)*'REC HUMANOS'!$K$6</f>
        <v>167.41071428571428</v>
      </c>
      <c r="I82" s="5">
        <f>(((I79/I2)*'REC HUMANOS'!$K$4)/12)*'REC HUMANOS'!$K$6</f>
        <v>151.20967741935485</v>
      </c>
      <c r="J82" s="5">
        <f>(((J79/J2)*'REC HUMANOS'!$K$4)/12)*'REC HUMANOS'!$K$6</f>
        <v>156.25</v>
      </c>
      <c r="K82" s="5">
        <f>(((K79/K2)*'REC HUMANOS'!$K$4)/12)*'REC HUMANOS'!$K$6</f>
        <v>151.20967741935485</v>
      </c>
      <c r="L82" s="5">
        <f>(((L79/L2)*'REC HUMANOS'!$K$4)/12)*'REC HUMANOS'!$K$6</f>
        <v>156.25</v>
      </c>
      <c r="M82" s="5">
        <f>(((M79/M2)*'REC HUMANOS'!$K$4)/12)*'REC HUMANOS'!$K$6</f>
        <v>151.20967741935485</v>
      </c>
      <c r="N82" s="5">
        <f>(((N79/N2)*'REC HUMANOS'!$K$4)/12)*'REC HUMANOS'!$K$6</f>
        <v>151.20967741935485</v>
      </c>
      <c r="O82" s="5">
        <f>(((O79/O2)*'REC HUMANOS'!$K$4)/12)*'REC HUMANOS'!$K$6</f>
        <v>156.25</v>
      </c>
      <c r="P82" s="5">
        <f>(((P79/P2)*'REC HUMANOS'!$K$4)/12)*'REC HUMANOS'!$K$6</f>
        <v>151.20967741935485</v>
      </c>
      <c r="Q82" s="5">
        <f>(((Q79/Q2)*'REC HUMANOS'!$K$4)/12)*'REC HUMANOS'!$K$6</f>
        <v>156.25</v>
      </c>
      <c r="R82" s="5">
        <f>(((R79/R2)*'REC HUMANOS'!$K$4)/12)*'REC HUMANOS'!$K$6</f>
        <v>151.20967741935485</v>
      </c>
      <c r="S82" s="5">
        <f t="shared" si="10"/>
        <v>1850.8784562211983</v>
      </c>
    </row>
    <row r="83" spans="2:19" x14ac:dyDescent="0.35">
      <c r="B83">
        <v>120</v>
      </c>
      <c r="C83" t="s">
        <v>159</v>
      </c>
      <c r="D83" t="s">
        <v>100</v>
      </c>
      <c r="E83">
        <v>1003005</v>
      </c>
      <c r="F83" t="s">
        <v>76</v>
      </c>
      <c r="G83" s="5">
        <f>(((G79/G2)*'REC HUMANOS'!$K$4/12))</f>
        <v>604.83870967741939</v>
      </c>
      <c r="H83" s="5">
        <f>(((H79/H2)*'REC HUMANOS'!$K$4/12))</f>
        <v>669.64285714285711</v>
      </c>
      <c r="I83" s="5">
        <f>(((I79/I2)*'REC HUMANOS'!$K$4/12))</f>
        <v>604.83870967741939</v>
      </c>
      <c r="J83" s="5">
        <f>(((J79/J2)*'REC HUMANOS'!$K$4/12))</f>
        <v>625</v>
      </c>
      <c r="K83" s="5">
        <f>(((K79/K2)*'REC HUMANOS'!$K$4/12))</f>
        <v>604.83870967741939</v>
      </c>
      <c r="L83" s="5">
        <f>(((L79/L2)*'REC HUMANOS'!$K$4/12))</f>
        <v>625</v>
      </c>
      <c r="M83" s="5">
        <f>(((M79/M2)*'REC HUMANOS'!$K$4/12))</f>
        <v>604.83870967741939</v>
      </c>
      <c r="N83" s="5">
        <f>(((N79/N2)*'REC HUMANOS'!$K$4/12))</f>
        <v>604.83870967741939</v>
      </c>
      <c r="O83" s="5">
        <f>(((O79/O2)*'REC HUMANOS'!$K$4/12))</f>
        <v>625</v>
      </c>
      <c r="P83" s="5">
        <f>(((P79/P2)*'REC HUMANOS'!$K$4/12))</f>
        <v>604.83870967741939</v>
      </c>
      <c r="Q83" s="5">
        <f>(((Q79/Q2)*'REC HUMANOS'!$K$4/12))</f>
        <v>625</v>
      </c>
      <c r="R83" s="5">
        <f>(((R79/R2)*'REC HUMANOS'!$K$4/12))</f>
        <v>604.83870967741939</v>
      </c>
      <c r="S83" s="5">
        <f t="shared" si="10"/>
        <v>7403.5138248847934</v>
      </c>
    </row>
    <row r="84" spans="2:19" x14ac:dyDescent="0.35">
      <c r="B84">
        <v>120</v>
      </c>
      <c r="C84" t="s">
        <v>159</v>
      </c>
      <c r="D84" t="s">
        <v>100</v>
      </c>
      <c r="E84">
        <v>1003006</v>
      </c>
      <c r="F84" t="s">
        <v>78</v>
      </c>
      <c r="G84" s="2">
        <f>(G79*'REC HUMANOS'!$G$2)*'REC HUMANOS'!$K$9</f>
        <v>3147.8999999999996</v>
      </c>
      <c r="H84" s="2">
        <f>(H79*'REC HUMANOS'!$G$2)*'REC HUMANOS'!$K$9</f>
        <v>3147.8999999999996</v>
      </c>
      <c r="I84" s="2">
        <f>(I79*'REC HUMANOS'!$G$2)*'REC HUMANOS'!$K$9</f>
        <v>3147.8999999999996</v>
      </c>
      <c r="J84" s="2">
        <f>(J79*'REC HUMANOS'!$G$2)*'REC HUMANOS'!$K$9</f>
        <v>3147.8999999999996</v>
      </c>
      <c r="K84" s="2">
        <f>(K79*'REC HUMANOS'!$G$2)*'REC HUMANOS'!$K$9</f>
        <v>3147.8999999999996</v>
      </c>
      <c r="L84" s="2">
        <f>(L79*'REC HUMANOS'!$G$2)*'REC HUMANOS'!$K$9</f>
        <v>3147.8999999999996</v>
      </c>
      <c r="M84" s="2">
        <f>(M79*'REC HUMANOS'!$G$2)*'REC HUMANOS'!$K$9</f>
        <v>3147.8999999999996</v>
      </c>
      <c r="N84" s="2">
        <f>(N79*'REC HUMANOS'!$G$2)*'REC HUMANOS'!$K$9</f>
        <v>3147.8999999999996</v>
      </c>
      <c r="O84" s="2">
        <f>(O79*'REC HUMANOS'!$G$2)*'REC HUMANOS'!$K$9</f>
        <v>3147.8999999999996</v>
      </c>
      <c r="P84" s="2">
        <f>(P79*'REC HUMANOS'!$G$2)*'REC HUMANOS'!$K$9</f>
        <v>3147.8999999999996</v>
      </c>
      <c r="Q84" s="2">
        <f>(Q79*'REC HUMANOS'!$G$2)*'REC HUMANOS'!$K$9</f>
        <v>3147.8999999999996</v>
      </c>
      <c r="R84" s="2">
        <f>(R79*'REC HUMANOS'!$G$2)*'REC HUMANOS'!$K$9</f>
        <v>3147.8999999999996</v>
      </c>
      <c r="S84" s="5">
        <f t="shared" si="10"/>
        <v>37774.800000000003</v>
      </c>
    </row>
    <row r="85" spans="2:19" x14ac:dyDescent="0.35">
      <c r="B85">
        <v>120</v>
      </c>
      <c r="C85" t="s">
        <v>159</v>
      </c>
      <c r="D85" t="s">
        <v>100</v>
      </c>
      <c r="E85">
        <v>1003007</v>
      </c>
      <c r="F85" t="s">
        <v>79</v>
      </c>
      <c r="G85" s="2">
        <f>(G79*'REC HUMANOS'!$G$2)*'REC HUMANOS'!$K$10</f>
        <v>708.27749999999992</v>
      </c>
      <c r="H85" s="2">
        <f>(H79*'REC HUMANOS'!$G$2)*'REC HUMANOS'!$K$10</f>
        <v>708.27749999999992</v>
      </c>
      <c r="I85" s="2">
        <f>(I79*'REC HUMANOS'!$G$2)*'REC HUMANOS'!$K$10</f>
        <v>708.27749999999992</v>
      </c>
      <c r="J85" s="2">
        <f>(J79*'REC HUMANOS'!$G$2)*'REC HUMANOS'!$K$10</f>
        <v>708.27749999999992</v>
      </c>
      <c r="K85" s="2">
        <f>(K79*'REC HUMANOS'!$G$2)*'REC HUMANOS'!$K$10</f>
        <v>708.27749999999992</v>
      </c>
      <c r="L85" s="2">
        <f>(L79*'REC HUMANOS'!$G$2)*'REC HUMANOS'!$K$10</f>
        <v>708.27749999999992</v>
      </c>
      <c r="M85" s="2">
        <f>(M79*'REC HUMANOS'!$G$2)*'REC HUMANOS'!$K$10</f>
        <v>708.27749999999992</v>
      </c>
      <c r="N85" s="2">
        <f>(N79*'REC HUMANOS'!$G$2)*'REC HUMANOS'!$K$10</f>
        <v>708.27749999999992</v>
      </c>
      <c r="O85" s="2">
        <f>(O79*'REC HUMANOS'!$G$2)*'REC HUMANOS'!$K$10</f>
        <v>708.27749999999992</v>
      </c>
      <c r="P85" s="2">
        <f>(P79*'REC HUMANOS'!$G$2)*'REC HUMANOS'!$K$10</f>
        <v>708.27749999999992</v>
      </c>
      <c r="Q85" s="2">
        <f>(Q79*'REC HUMANOS'!$G$2)*'REC HUMANOS'!$K$10</f>
        <v>708.27749999999992</v>
      </c>
      <c r="R85" s="2">
        <f>(R79*'REC HUMANOS'!$G$2)*'REC HUMANOS'!$K$10</f>
        <v>708.27749999999992</v>
      </c>
      <c r="S85" s="5">
        <f t="shared" si="10"/>
        <v>8499.33</v>
      </c>
    </row>
    <row r="86" spans="2:19" x14ac:dyDescent="0.35">
      <c r="B86">
        <v>120</v>
      </c>
      <c r="C86" t="s">
        <v>159</v>
      </c>
      <c r="D86" t="s">
        <v>100</v>
      </c>
      <c r="E86">
        <v>1003008</v>
      </c>
      <c r="F86" t="s">
        <v>81</v>
      </c>
      <c r="G86" s="2">
        <f>(G79*'REC HUMANOS'!$G$2)*'REC HUMANOS'!$K$11</f>
        <v>786.97499999999991</v>
      </c>
      <c r="H86" s="2">
        <f>(H79*'REC HUMANOS'!$G$2)*'REC HUMANOS'!$K$11</f>
        <v>786.97499999999991</v>
      </c>
      <c r="I86" s="2">
        <f>(I79*'REC HUMANOS'!$G$2)*'REC HUMANOS'!$K$11</f>
        <v>786.97499999999991</v>
      </c>
      <c r="J86" s="2">
        <f>(J79*'REC HUMANOS'!$G$2)*'REC HUMANOS'!$K$11</f>
        <v>786.97499999999991</v>
      </c>
      <c r="K86" s="2">
        <f>(K79*'REC HUMANOS'!$G$2)*'REC HUMANOS'!$K$11</f>
        <v>786.97499999999991</v>
      </c>
      <c r="L86" s="2">
        <f>(L79*'REC HUMANOS'!$G$2)*'REC HUMANOS'!$K$11</f>
        <v>786.97499999999991</v>
      </c>
      <c r="M86" s="2">
        <f>(M79*'REC HUMANOS'!$G$2)*'REC HUMANOS'!$K$11</f>
        <v>786.97499999999991</v>
      </c>
      <c r="N86" s="2">
        <f>(N79*'REC HUMANOS'!$G$2)*'REC HUMANOS'!$K$11</f>
        <v>786.97499999999991</v>
      </c>
      <c r="O86" s="2">
        <f>(O79*'REC HUMANOS'!$G$2)*'REC HUMANOS'!$K$11</f>
        <v>786.97499999999991</v>
      </c>
      <c r="P86" s="2">
        <f>(P79*'REC HUMANOS'!$G$2)*'REC HUMANOS'!$K$11</f>
        <v>786.97499999999991</v>
      </c>
      <c r="Q86" s="2">
        <f>(Q79*'REC HUMANOS'!$G$2)*'REC HUMANOS'!$K$11</f>
        <v>786.97499999999991</v>
      </c>
      <c r="R86" s="2">
        <f>(R79*'REC HUMANOS'!$G$2)*'REC HUMANOS'!$K$11</f>
        <v>786.97499999999991</v>
      </c>
      <c r="S86" s="5">
        <f t="shared" si="10"/>
        <v>9443.7000000000007</v>
      </c>
    </row>
    <row r="87" spans="2:19" x14ac:dyDescent="0.35">
      <c r="B87">
        <v>120</v>
      </c>
      <c r="C87" t="s">
        <v>159</v>
      </c>
      <c r="D87" t="s">
        <v>100</v>
      </c>
      <c r="E87">
        <v>1003009</v>
      </c>
      <c r="F87" t="s">
        <v>80</v>
      </c>
      <c r="G87" s="2">
        <f>(G79*'REC HUMANOS'!$G$2)*'REC HUMANOS'!$K$14</f>
        <v>472.18499999999995</v>
      </c>
      <c r="H87" s="2">
        <f>(H79*'REC HUMANOS'!$G$2)*'REC HUMANOS'!$K$14</f>
        <v>472.18499999999995</v>
      </c>
      <c r="I87" s="2">
        <f>(I79*'REC HUMANOS'!$G$2)*'REC HUMANOS'!$K$14</f>
        <v>472.18499999999995</v>
      </c>
      <c r="J87" s="2">
        <f>(J79*'REC HUMANOS'!$G$2)*'REC HUMANOS'!$K$14</f>
        <v>472.18499999999995</v>
      </c>
      <c r="K87" s="2">
        <f>(K79*'REC HUMANOS'!$G$2)*'REC HUMANOS'!$K$14</f>
        <v>472.18499999999995</v>
      </c>
      <c r="L87" s="2">
        <f>(L79*'REC HUMANOS'!$G$2)*'REC HUMANOS'!$K$14</f>
        <v>472.18499999999995</v>
      </c>
      <c r="M87" s="2">
        <f>(M79*'REC HUMANOS'!$G$2)*'REC HUMANOS'!$K$14</f>
        <v>472.18499999999995</v>
      </c>
      <c r="N87" s="2">
        <f>(N79*'REC HUMANOS'!$G$2)*'REC HUMANOS'!$K$14</f>
        <v>472.18499999999995</v>
      </c>
      <c r="O87" s="2">
        <f>(O79*'REC HUMANOS'!$G$2)*'REC HUMANOS'!$K$14</f>
        <v>472.18499999999995</v>
      </c>
      <c r="P87" s="2">
        <f>(P79*'REC HUMANOS'!$G$2)*'REC HUMANOS'!$K$14</f>
        <v>472.18499999999995</v>
      </c>
      <c r="Q87" s="2">
        <f>(Q79*'REC HUMANOS'!$G$2)*'REC HUMANOS'!$K$14</f>
        <v>472.18499999999995</v>
      </c>
      <c r="R87" s="2">
        <f>(R79*'REC HUMANOS'!$G$2)*'REC HUMANOS'!$K$14</f>
        <v>472.18499999999995</v>
      </c>
      <c r="S87" s="5">
        <f t="shared" si="10"/>
        <v>5666.2199999999975</v>
      </c>
    </row>
    <row r="88" spans="2:19" x14ac:dyDescent="0.35">
      <c r="B88">
        <v>120</v>
      </c>
      <c r="C88" t="s">
        <v>159</v>
      </c>
      <c r="D88" t="s">
        <v>100</v>
      </c>
      <c r="E88">
        <v>1003101</v>
      </c>
      <c r="F88" t="s">
        <v>89</v>
      </c>
      <c r="G88" s="5">
        <f>'CONTABILIDAD &amp; COSTOS'!$J$37</f>
        <v>15000</v>
      </c>
      <c r="H88" s="5">
        <f>'CONTABILIDAD &amp; COSTOS'!$J$37</f>
        <v>15000</v>
      </c>
      <c r="I88" s="5">
        <f>'CONTABILIDAD &amp; COSTOS'!$J$37</f>
        <v>15000</v>
      </c>
      <c r="J88" s="5">
        <f>'CONTABILIDAD &amp; COSTOS'!$J$37</f>
        <v>15000</v>
      </c>
      <c r="K88" s="5">
        <f>'CONTABILIDAD &amp; COSTOS'!$J$37</f>
        <v>15000</v>
      </c>
      <c r="L88" s="5">
        <f>'CONTABILIDAD &amp; COSTOS'!$J$37</f>
        <v>15000</v>
      </c>
      <c r="M88" s="5">
        <f>'CONTABILIDAD &amp; COSTOS'!$J$37</f>
        <v>15000</v>
      </c>
      <c r="N88" s="5">
        <f>'CONTABILIDAD &amp; COSTOS'!$J$37</f>
        <v>15000</v>
      </c>
      <c r="O88" s="5">
        <f>'CONTABILIDAD &amp; COSTOS'!$J$37</f>
        <v>15000</v>
      </c>
      <c r="P88" s="5">
        <f>'CONTABILIDAD &amp; COSTOS'!$J$37</f>
        <v>15000</v>
      </c>
      <c r="Q88" s="5">
        <f>'CONTABILIDAD &amp; COSTOS'!$J$37</f>
        <v>15000</v>
      </c>
      <c r="R88" s="5">
        <f>'CONTABILIDAD &amp; COSTOS'!$J$37</f>
        <v>15000</v>
      </c>
      <c r="S88" s="5">
        <f t="shared" si="10"/>
        <v>180000</v>
      </c>
    </row>
    <row r="89" spans="2:19" x14ac:dyDescent="0.35">
      <c r="B89">
        <v>120</v>
      </c>
      <c r="C89" t="s">
        <v>159</v>
      </c>
      <c r="D89" t="s">
        <v>100</v>
      </c>
      <c r="E89">
        <v>1003102</v>
      </c>
      <c r="F89" t="s">
        <v>90</v>
      </c>
      <c r="G89" s="5">
        <f>'CONTABILIDAD &amp; COSTOS'!$J$49</f>
        <v>250</v>
      </c>
      <c r="H89" s="5">
        <f>'CONTABILIDAD &amp; COSTOS'!$J$49</f>
        <v>250</v>
      </c>
      <c r="I89" s="5">
        <f>'CONTABILIDAD &amp; COSTOS'!$J$49</f>
        <v>250</v>
      </c>
      <c r="J89" s="5">
        <f>'CONTABILIDAD &amp; COSTOS'!$J$49</f>
        <v>250</v>
      </c>
      <c r="K89" s="5">
        <f>'CONTABILIDAD &amp; COSTOS'!$J$49</f>
        <v>250</v>
      </c>
      <c r="L89" s="5">
        <f>'CONTABILIDAD &amp; COSTOS'!$J$49</f>
        <v>250</v>
      </c>
      <c r="M89" s="5">
        <f>'CONTABILIDAD &amp; COSTOS'!$J$49</f>
        <v>250</v>
      </c>
      <c r="N89" s="5">
        <f>'CONTABILIDAD &amp; COSTOS'!$J$49</f>
        <v>250</v>
      </c>
      <c r="O89" s="5">
        <f>'CONTABILIDAD &amp; COSTOS'!$J$49</f>
        <v>250</v>
      </c>
      <c r="P89" s="5">
        <f>'CONTABILIDAD &amp; COSTOS'!$J$49</f>
        <v>250</v>
      </c>
      <c r="Q89" s="5">
        <f>'CONTABILIDAD &amp; COSTOS'!$J$49</f>
        <v>250</v>
      </c>
      <c r="R89" s="5">
        <f>'CONTABILIDAD &amp; COSTOS'!$J$49</f>
        <v>250</v>
      </c>
      <c r="S89" s="5">
        <f t="shared" si="10"/>
        <v>3000</v>
      </c>
    </row>
    <row r="90" spans="2:19" x14ac:dyDescent="0.35">
      <c r="B90">
        <v>120</v>
      </c>
      <c r="C90" t="s">
        <v>159</v>
      </c>
      <c r="D90" t="s">
        <v>100</v>
      </c>
      <c r="E90">
        <v>1003103</v>
      </c>
      <c r="F90" t="s">
        <v>91</v>
      </c>
      <c r="G90" s="5">
        <f>'CONTABILIDAD &amp; COSTOS'!$J$61</f>
        <v>175</v>
      </c>
      <c r="H90" s="5">
        <f>'CONTABILIDAD &amp; COSTOS'!$J$61</f>
        <v>175</v>
      </c>
      <c r="I90" s="5">
        <f>'CONTABILIDAD &amp; COSTOS'!$J$61</f>
        <v>175</v>
      </c>
      <c r="J90" s="5">
        <f>'CONTABILIDAD &amp; COSTOS'!$J$61</f>
        <v>175</v>
      </c>
      <c r="K90" s="5">
        <f>'CONTABILIDAD &amp; COSTOS'!$J$61</f>
        <v>175</v>
      </c>
      <c r="L90" s="5">
        <f>'CONTABILIDAD &amp; COSTOS'!$J$61</f>
        <v>175</v>
      </c>
      <c r="M90" s="5">
        <f>'CONTABILIDAD &amp; COSTOS'!$J$61</f>
        <v>175</v>
      </c>
      <c r="N90" s="5">
        <f>'CONTABILIDAD &amp; COSTOS'!$J$61</f>
        <v>175</v>
      </c>
      <c r="O90" s="5">
        <f>'CONTABILIDAD &amp; COSTOS'!$J$61</f>
        <v>175</v>
      </c>
      <c r="P90" s="5">
        <f>'CONTABILIDAD &amp; COSTOS'!$J$61</f>
        <v>175</v>
      </c>
      <c r="Q90" s="5">
        <f>'CONTABILIDAD &amp; COSTOS'!$J$61</f>
        <v>175</v>
      </c>
      <c r="R90" s="5">
        <f>'CONTABILIDAD &amp; COSTOS'!$J$61</f>
        <v>175</v>
      </c>
      <c r="S90" s="5">
        <f t="shared" si="10"/>
        <v>2100</v>
      </c>
    </row>
    <row r="91" spans="2:19" x14ac:dyDescent="0.35">
      <c r="B91">
        <v>120</v>
      </c>
      <c r="C91" t="s">
        <v>159</v>
      </c>
      <c r="D91" t="s">
        <v>100</v>
      </c>
      <c r="E91">
        <v>1003104</v>
      </c>
      <c r="F91" t="s">
        <v>92</v>
      </c>
      <c r="G91" s="5">
        <f>'CONTABILIDAD &amp; COSTOS'!$J$73</f>
        <v>1200</v>
      </c>
      <c r="H91" s="5">
        <f>'CONTABILIDAD &amp; COSTOS'!$J$73</f>
        <v>1200</v>
      </c>
      <c r="I91" s="5">
        <f>'CONTABILIDAD &amp; COSTOS'!$J$73</f>
        <v>1200</v>
      </c>
      <c r="J91" s="5">
        <f>'CONTABILIDAD &amp; COSTOS'!$J$73</f>
        <v>1200</v>
      </c>
      <c r="K91" s="5">
        <f>'CONTABILIDAD &amp; COSTOS'!$J$73</f>
        <v>1200</v>
      </c>
      <c r="L91" s="5">
        <f>'CONTABILIDAD &amp; COSTOS'!$J$73</f>
        <v>1200</v>
      </c>
      <c r="M91" s="5">
        <f>'CONTABILIDAD &amp; COSTOS'!$J$73</f>
        <v>1200</v>
      </c>
      <c r="N91" s="5">
        <f>'CONTABILIDAD &amp; COSTOS'!$J$73</f>
        <v>1200</v>
      </c>
      <c r="O91" s="5">
        <f>'CONTABILIDAD &amp; COSTOS'!$J$73</f>
        <v>1200</v>
      </c>
      <c r="P91" s="5">
        <f>'CONTABILIDAD &amp; COSTOS'!$J$73</f>
        <v>1200</v>
      </c>
      <c r="Q91" s="5">
        <f>'CONTABILIDAD &amp; COSTOS'!$J$73</f>
        <v>1200</v>
      </c>
      <c r="R91" s="5">
        <f>'CONTABILIDAD &amp; COSTOS'!$J$73</f>
        <v>1200</v>
      </c>
      <c r="S91" s="5">
        <f t="shared" si="10"/>
        <v>14400</v>
      </c>
    </row>
    <row r="92" spans="2:19" x14ac:dyDescent="0.35">
      <c r="C92" t="s">
        <v>96</v>
      </c>
      <c r="G92" s="5">
        <f>SUM(G64:G91)</f>
        <v>132820.01916209678</v>
      </c>
      <c r="H92" s="5">
        <f t="shared" ref="H92:S92" si="12">SUM(H64:H91)</f>
        <v>125297.42677142857</v>
      </c>
      <c r="I92" s="5">
        <f t="shared" si="12"/>
        <v>132820.01916209678</v>
      </c>
      <c r="J92" s="5">
        <f t="shared" si="12"/>
        <v>130310.68824999999</v>
      </c>
      <c r="K92" s="5">
        <f t="shared" si="12"/>
        <v>132820.01916209678</v>
      </c>
      <c r="L92" s="5">
        <f t="shared" si="12"/>
        <v>130310.68824999999</v>
      </c>
      <c r="M92" s="5">
        <f t="shared" si="12"/>
        <v>132820.01916209678</v>
      </c>
      <c r="N92" s="5">
        <f t="shared" si="12"/>
        <v>132820.01916209678</v>
      </c>
      <c r="O92" s="5">
        <f t="shared" si="12"/>
        <v>130310.68824999999</v>
      </c>
      <c r="P92" s="5">
        <f t="shared" si="12"/>
        <v>132820.01916209678</v>
      </c>
      <c r="Q92" s="5">
        <f t="shared" si="12"/>
        <v>130310.68824999999</v>
      </c>
      <c r="R92" s="5">
        <f t="shared" si="12"/>
        <v>132820.01916209678</v>
      </c>
      <c r="S92" s="5">
        <f t="shared" si="12"/>
        <v>1576280.3139061062</v>
      </c>
    </row>
    <row r="93" spans="2:19" x14ac:dyDescent="0.35">
      <c r="S93" s="5">
        <f t="shared" si="10"/>
        <v>0</v>
      </c>
    </row>
    <row r="94" spans="2:19" x14ac:dyDescent="0.35">
      <c r="B94">
        <v>150</v>
      </c>
      <c r="C94" t="s">
        <v>152</v>
      </c>
      <c r="D94" t="s">
        <v>101</v>
      </c>
      <c r="E94">
        <v>1001001</v>
      </c>
      <c r="F94" t="s">
        <v>73</v>
      </c>
      <c r="G94" s="5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5">
        <f t="shared" si="10"/>
        <v>0</v>
      </c>
    </row>
    <row r="95" spans="2:19" x14ac:dyDescent="0.35">
      <c r="B95">
        <v>150</v>
      </c>
      <c r="C95" t="s">
        <v>152</v>
      </c>
      <c r="D95" t="s">
        <v>101</v>
      </c>
      <c r="E95">
        <v>1001002</v>
      </c>
      <c r="F95" t="s">
        <v>74</v>
      </c>
      <c r="S95" s="5">
        <f t="shared" si="10"/>
        <v>0</v>
      </c>
    </row>
    <row r="96" spans="2:19" x14ac:dyDescent="0.35">
      <c r="B96">
        <v>150</v>
      </c>
      <c r="C96" t="s">
        <v>152</v>
      </c>
      <c r="D96" t="s">
        <v>101</v>
      </c>
      <c r="E96">
        <v>1001003</v>
      </c>
      <c r="F96" t="s">
        <v>77</v>
      </c>
      <c r="S96" s="5">
        <f t="shared" si="10"/>
        <v>0</v>
      </c>
    </row>
    <row r="97" spans="2:19" x14ac:dyDescent="0.35">
      <c r="B97">
        <v>150</v>
      </c>
      <c r="C97" t="s">
        <v>152</v>
      </c>
      <c r="D97" t="s">
        <v>101</v>
      </c>
      <c r="E97">
        <v>1001004</v>
      </c>
      <c r="F97" t="s">
        <v>75</v>
      </c>
      <c r="G97" s="5">
        <f>(((G94/G32)*'REC HUMANOS'!$K$4)/12)*'REC HUMANOS'!$K$6</f>
        <v>0</v>
      </c>
      <c r="H97" s="5">
        <f>(((H94/H32)*'REC HUMANOS'!$K$4)/12)*'REC HUMANOS'!$K$6</f>
        <v>0</v>
      </c>
      <c r="I97" s="5">
        <f>(((I94/I32)*'REC HUMANOS'!$K$4)/12)*'REC HUMANOS'!$K$6</f>
        <v>0</v>
      </c>
      <c r="J97" s="5">
        <f>(((J94/J32)*'REC HUMANOS'!$K$4)/12)*'REC HUMANOS'!$K$6</f>
        <v>0</v>
      </c>
      <c r="K97" s="5">
        <f>(((K94/K32)*'REC HUMANOS'!$K$4)/12)*'REC HUMANOS'!$K$6</f>
        <v>0</v>
      </c>
      <c r="L97" s="5">
        <f>(((L94/L32)*'REC HUMANOS'!$K$4)/12)*'REC HUMANOS'!$K$6</f>
        <v>0</v>
      </c>
      <c r="M97" s="5">
        <f>(((M94/M32)*'REC HUMANOS'!$K$4)/12)*'REC HUMANOS'!$K$6</f>
        <v>0</v>
      </c>
      <c r="N97" s="5">
        <f>(((N94/N32)*'REC HUMANOS'!$K$4)/12)*'REC HUMANOS'!$K$6</f>
        <v>0</v>
      </c>
      <c r="O97" s="5">
        <f>(((O94/O32)*'REC HUMANOS'!$K$4)/12)*'REC HUMANOS'!$K$6</f>
        <v>0</v>
      </c>
      <c r="P97" s="5">
        <f>(((P94/P32)*'REC HUMANOS'!$K$4)/12)*'REC HUMANOS'!$K$6</f>
        <v>0</v>
      </c>
      <c r="Q97" s="5">
        <f>(((Q94/Q32)*'REC HUMANOS'!$K$4)/12)*'REC HUMANOS'!$K$6</f>
        <v>0</v>
      </c>
      <c r="R97" s="5">
        <f>(((R94/R32)*'REC HUMANOS'!$K$4)/12)*'REC HUMANOS'!$K$6</f>
        <v>0</v>
      </c>
      <c r="S97" s="5">
        <f t="shared" si="10"/>
        <v>0</v>
      </c>
    </row>
    <row r="98" spans="2:19" x14ac:dyDescent="0.35">
      <c r="B98">
        <v>150</v>
      </c>
      <c r="C98" t="s">
        <v>152</v>
      </c>
      <c r="D98" t="s">
        <v>101</v>
      </c>
      <c r="E98">
        <v>1001005</v>
      </c>
      <c r="F98" t="s">
        <v>76</v>
      </c>
      <c r="G98" s="5">
        <f>(((G94/G32)*'REC HUMANOS'!$K$4)/12)</f>
        <v>0</v>
      </c>
      <c r="H98" s="5">
        <f>(((H94/H32)*'REC HUMANOS'!$K$4)/12)</f>
        <v>0</v>
      </c>
      <c r="I98" s="5">
        <f>(((I94/I32)*'REC HUMANOS'!$K$4)/12)</f>
        <v>0</v>
      </c>
      <c r="J98" s="5">
        <f>(((J94/J32)*'REC HUMANOS'!$K$4)/12)</f>
        <v>0</v>
      </c>
      <c r="K98" s="5">
        <f>(((K94/K32)*'REC HUMANOS'!$K$4)/12)</f>
        <v>0</v>
      </c>
      <c r="L98" s="5">
        <f>(((L94/L32)*'REC HUMANOS'!$K$4)/12)</f>
        <v>0</v>
      </c>
      <c r="M98" s="5">
        <f>(((M94/M32)*'REC HUMANOS'!$K$4)/12)</f>
        <v>0</v>
      </c>
      <c r="N98" s="5">
        <f>(((N94/N32)*'REC HUMANOS'!$K$4)/12)</f>
        <v>0</v>
      </c>
      <c r="O98" s="5">
        <f>(((O94/O32)*'REC HUMANOS'!$K$4)/12)</f>
        <v>0</v>
      </c>
      <c r="P98" s="5">
        <f>(((P94/P32)*'REC HUMANOS'!$K$4)/12)</f>
        <v>0</v>
      </c>
      <c r="Q98" s="5">
        <f>(((Q94/Q32)*'REC HUMANOS'!$K$4)/12)</f>
        <v>0</v>
      </c>
      <c r="R98" s="5">
        <f>(((R94/R32)*'REC HUMANOS'!$K$4)/12)</f>
        <v>0</v>
      </c>
      <c r="S98" s="5">
        <f t="shared" si="10"/>
        <v>0</v>
      </c>
    </row>
    <row r="99" spans="2:19" x14ac:dyDescent="0.35">
      <c r="B99">
        <v>150</v>
      </c>
      <c r="C99" t="s">
        <v>152</v>
      </c>
      <c r="D99" t="s">
        <v>101</v>
      </c>
      <c r="E99">
        <v>1001006</v>
      </c>
      <c r="F99" t="s">
        <v>78</v>
      </c>
      <c r="G99" s="2">
        <f>(G94*'REC HUMANOS'!$G$2)*'REC HUMANOS'!$K$9</f>
        <v>0</v>
      </c>
      <c r="H99" s="2">
        <f>(H94*'REC HUMANOS'!$G$2)*'REC HUMANOS'!$K$9</f>
        <v>0</v>
      </c>
      <c r="I99" s="2">
        <f>(I94*'REC HUMANOS'!$G$2)*'REC HUMANOS'!$K$9</f>
        <v>0</v>
      </c>
      <c r="J99" s="2">
        <f>(J94*'REC HUMANOS'!$G$2)*'REC HUMANOS'!$K$9</f>
        <v>0</v>
      </c>
      <c r="K99" s="2">
        <f>(K94*'REC HUMANOS'!$G$2)*'REC HUMANOS'!$K$9</f>
        <v>0</v>
      </c>
      <c r="L99" s="2">
        <f>(L94*'REC HUMANOS'!$G$2)*'REC HUMANOS'!$K$9</f>
        <v>0</v>
      </c>
      <c r="M99" s="2">
        <f>(M94*'REC HUMANOS'!$G$2)*'REC HUMANOS'!$K$9</f>
        <v>0</v>
      </c>
      <c r="N99" s="2">
        <f>(N94*'REC HUMANOS'!$G$2)*'REC HUMANOS'!$K$9</f>
        <v>0</v>
      </c>
      <c r="O99" s="2">
        <f>(O94*'REC HUMANOS'!$G$2)*'REC HUMANOS'!$K$9</f>
        <v>0</v>
      </c>
      <c r="P99" s="2">
        <f>(P94*'REC HUMANOS'!$G$2)*'REC HUMANOS'!$K$9</f>
        <v>0</v>
      </c>
      <c r="Q99" s="2">
        <f>(Q94*'REC HUMANOS'!$G$2)*'REC HUMANOS'!$K$9</f>
        <v>0</v>
      </c>
      <c r="R99" s="2">
        <f>(R94*'REC HUMANOS'!$G$2)*'REC HUMANOS'!$K$9</f>
        <v>0</v>
      </c>
      <c r="S99" s="5">
        <f t="shared" ref="S99:S121" si="13">SUM(G99:R99)</f>
        <v>0</v>
      </c>
    </row>
    <row r="100" spans="2:19" x14ac:dyDescent="0.35">
      <c r="B100">
        <v>150</v>
      </c>
      <c r="C100" t="s">
        <v>152</v>
      </c>
      <c r="D100" t="s">
        <v>101</v>
      </c>
      <c r="E100">
        <v>1001007</v>
      </c>
      <c r="F100" t="s">
        <v>79</v>
      </c>
      <c r="G100" s="2">
        <f>(G94*'REC HUMANOS'!$G$2)*'REC HUMANOS'!$K$10</f>
        <v>0</v>
      </c>
      <c r="H100" s="2">
        <f>(H94*'REC HUMANOS'!$G$2)*'REC HUMANOS'!$K$10</f>
        <v>0</v>
      </c>
      <c r="I100" s="2">
        <f>(I94*'REC HUMANOS'!$G$2)*'REC HUMANOS'!$K$10</f>
        <v>0</v>
      </c>
      <c r="J100" s="2">
        <f>(J94*'REC HUMANOS'!$G$2)*'REC HUMANOS'!$K$10</f>
        <v>0</v>
      </c>
      <c r="K100" s="2">
        <f>(K94*'REC HUMANOS'!$G$2)*'REC HUMANOS'!$K$10</f>
        <v>0</v>
      </c>
      <c r="L100" s="2">
        <f>(L94*'REC HUMANOS'!$G$2)*'REC HUMANOS'!$K$10</f>
        <v>0</v>
      </c>
      <c r="M100" s="2">
        <f>(M94*'REC HUMANOS'!$G$2)*'REC HUMANOS'!$K$10</f>
        <v>0</v>
      </c>
      <c r="N100" s="2">
        <f>(N94*'REC HUMANOS'!$G$2)*'REC HUMANOS'!$K$10</f>
        <v>0</v>
      </c>
      <c r="O100" s="2">
        <f>(O94*'REC HUMANOS'!$G$2)*'REC HUMANOS'!$K$10</f>
        <v>0</v>
      </c>
      <c r="P100" s="2">
        <f>(P94*'REC HUMANOS'!$G$2)*'REC HUMANOS'!$K$10</f>
        <v>0</v>
      </c>
      <c r="Q100" s="2">
        <f>(Q94*'REC HUMANOS'!$G$2)*'REC HUMANOS'!$K$10</f>
        <v>0</v>
      </c>
      <c r="R100" s="2">
        <f>(R94*'REC HUMANOS'!$G$2)*'REC HUMANOS'!$K$10</f>
        <v>0</v>
      </c>
      <c r="S100" s="5">
        <f t="shared" si="13"/>
        <v>0</v>
      </c>
    </row>
    <row r="101" spans="2:19" x14ac:dyDescent="0.35">
      <c r="B101">
        <v>150</v>
      </c>
      <c r="C101" t="s">
        <v>152</v>
      </c>
      <c r="D101" t="s">
        <v>101</v>
      </c>
      <c r="E101">
        <v>1001008</v>
      </c>
      <c r="F101" t="s">
        <v>81</v>
      </c>
      <c r="G101" s="2">
        <f>(G94*'REC HUMANOS'!$G$2)*'REC HUMANOS'!$K$11</f>
        <v>0</v>
      </c>
      <c r="H101" s="2">
        <f>(H94*'REC HUMANOS'!$G$2)*'REC HUMANOS'!$K$11</f>
        <v>0</v>
      </c>
      <c r="I101" s="2">
        <f>(I94*'REC HUMANOS'!$G$2)*'REC HUMANOS'!$K$11</f>
        <v>0</v>
      </c>
      <c r="J101" s="2">
        <f>(J94*'REC HUMANOS'!$G$2)*'REC HUMANOS'!$K$11</f>
        <v>0</v>
      </c>
      <c r="K101" s="2">
        <f>(K94*'REC HUMANOS'!$G$2)*'REC HUMANOS'!$K$11</f>
        <v>0</v>
      </c>
      <c r="L101" s="2">
        <f>(L94*'REC HUMANOS'!$G$2)*'REC HUMANOS'!$K$11</f>
        <v>0</v>
      </c>
      <c r="M101" s="2">
        <f>(M94*'REC HUMANOS'!$G$2)*'REC HUMANOS'!$K$11</f>
        <v>0</v>
      </c>
      <c r="N101" s="2">
        <f>(N94*'REC HUMANOS'!$G$2)*'REC HUMANOS'!$K$11</f>
        <v>0</v>
      </c>
      <c r="O101" s="2">
        <f>(O94*'REC HUMANOS'!$G$2)*'REC HUMANOS'!$K$11</f>
        <v>0</v>
      </c>
      <c r="P101" s="2">
        <f>(P94*'REC HUMANOS'!$G$2)*'REC HUMANOS'!$K$11</f>
        <v>0</v>
      </c>
      <c r="Q101" s="2">
        <f>(Q94*'REC HUMANOS'!$G$2)*'REC HUMANOS'!$K$11</f>
        <v>0</v>
      </c>
      <c r="R101" s="2">
        <f>(R94*'REC HUMANOS'!$G$2)*'REC HUMANOS'!$K$11</f>
        <v>0</v>
      </c>
      <c r="S101" s="5">
        <f t="shared" si="13"/>
        <v>0</v>
      </c>
    </row>
    <row r="102" spans="2:19" x14ac:dyDescent="0.35">
      <c r="B102">
        <v>150</v>
      </c>
      <c r="C102" t="s">
        <v>152</v>
      </c>
      <c r="D102" t="s">
        <v>101</v>
      </c>
      <c r="E102">
        <v>1001009</v>
      </c>
      <c r="F102" t="s">
        <v>80</v>
      </c>
      <c r="G102" s="2">
        <f>(G94*'REC HUMANOS'!$G$2)*'REC HUMANOS'!$K$14</f>
        <v>0</v>
      </c>
      <c r="H102" s="2">
        <f>(H94*'REC HUMANOS'!$G$2)*'REC HUMANOS'!$K$14</f>
        <v>0</v>
      </c>
      <c r="I102" s="2">
        <f>(I94*'REC HUMANOS'!$G$2)*'REC HUMANOS'!$K$14</f>
        <v>0</v>
      </c>
      <c r="J102" s="2">
        <f>(J94*'REC HUMANOS'!$G$2)*'REC HUMANOS'!$K$14</f>
        <v>0</v>
      </c>
      <c r="K102" s="2">
        <f>(K94*'REC HUMANOS'!$G$2)*'REC HUMANOS'!$K$14</f>
        <v>0</v>
      </c>
      <c r="L102" s="2">
        <f>(L94*'REC HUMANOS'!$G$2)*'REC HUMANOS'!$K$14</f>
        <v>0</v>
      </c>
      <c r="M102" s="2">
        <f>(M94*'REC HUMANOS'!$G$2)*'REC HUMANOS'!$K$14</f>
        <v>0</v>
      </c>
      <c r="N102" s="2">
        <f>(N94*'REC HUMANOS'!$G$2)*'REC HUMANOS'!$K$14</f>
        <v>0</v>
      </c>
      <c r="O102" s="2">
        <f>(O94*'REC HUMANOS'!$G$2)*'REC HUMANOS'!$K$14</f>
        <v>0</v>
      </c>
      <c r="P102" s="2">
        <f>(P94*'REC HUMANOS'!$G$2)*'REC HUMANOS'!$K$14</f>
        <v>0</v>
      </c>
      <c r="Q102" s="2">
        <f>(Q94*'REC HUMANOS'!$G$2)*'REC HUMANOS'!$K$14</f>
        <v>0</v>
      </c>
      <c r="R102" s="2">
        <f>(R94*'REC HUMANOS'!$G$2)*'REC HUMANOS'!$K$14</f>
        <v>0</v>
      </c>
      <c r="S102" s="5">
        <f t="shared" si="13"/>
        <v>0</v>
      </c>
    </row>
    <row r="103" spans="2:19" x14ac:dyDescent="0.35">
      <c r="B103">
        <v>150</v>
      </c>
      <c r="C103" t="s">
        <v>152</v>
      </c>
      <c r="D103" t="s">
        <v>102</v>
      </c>
      <c r="E103">
        <v>1002001</v>
      </c>
      <c r="F103" s="11" t="s">
        <v>83</v>
      </c>
      <c r="G103" s="2">
        <v>150</v>
      </c>
      <c r="H103" s="2">
        <v>150</v>
      </c>
      <c r="I103" s="2">
        <v>150</v>
      </c>
      <c r="J103" s="2">
        <v>150</v>
      </c>
      <c r="K103" s="2">
        <v>150</v>
      </c>
      <c r="L103" s="2">
        <v>150</v>
      </c>
      <c r="M103" s="2">
        <v>150</v>
      </c>
      <c r="N103" s="2">
        <v>150</v>
      </c>
      <c r="O103" s="2">
        <v>150</v>
      </c>
      <c r="P103" s="2">
        <v>150</v>
      </c>
      <c r="Q103" s="2">
        <v>150</v>
      </c>
      <c r="R103" s="2">
        <v>150</v>
      </c>
      <c r="S103" s="5">
        <f t="shared" si="13"/>
        <v>1800</v>
      </c>
    </row>
    <row r="104" spans="2:19" x14ac:dyDescent="0.35">
      <c r="B104">
        <v>150</v>
      </c>
      <c r="C104" t="s">
        <v>152</v>
      </c>
      <c r="D104" t="s">
        <v>102</v>
      </c>
      <c r="E104">
        <v>1002002</v>
      </c>
      <c r="F104" s="11" t="s">
        <v>84</v>
      </c>
      <c r="G104" s="2">
        <v>50</v>
      </c>
      <c r="H104" s="2">
        <v>50</v>
      </c>
      <c r="I104" s="2">
        <v>50</v>
      </c>
      <c r="J104" s="2">
        <v>50</v>
      </c>
      <c r="K104" s="2">
        <v>50</v>
      </c>
      <c r="L104" s="2">
        <v>50</v>
      </c>
      <c r="M104" s="2">
        <v>50</v>
      </c>
      <c r="N104" s="2">
        <v>50</v>
      </c>
      <c r="O104" s="2">
        <v>50</v>
      </c>
      <c r="P104" s="2">
        <v>50</v>
      </c>
      <c r="Q104" s="2">
        <v>50</v>
      </c>
      <c r="R104" s="2">
        <v>50</v>
      </c>
      <c r="S104" s="5">
        <f t="shared" si="13"/>
        <v>600</v>
      </c>
    </row>
    <row r="105" spans="2:19" x14ac:dyDescent="0.35">
      <c r="B105">
        <v>150</v>
      </c>
      <c r="C105" t="s">
        <v>152</v>
      </c>
      <c r="D105" t="s">
        <v>102</v>
      </c>
      <c r="E105">
        <v>1002003</v>
      </c>
      <c r="F105" s="11" t="s">
        <v>85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5">
        <f t="shared" si="13"/>
        <v>0</v>
      </c>
    </row>
    <row r="106" spans="2:19" x14ac:dyDescent="0.35">
      <c r="B106">
        <v>150</v>
      </c>
      <c r="C106" t="s">
        <v>152</v>
      </c>
      <c r="D106" t="s">
        <v>102</v>
      </c>
      <c r="E106">
        <v>1002004</v>
      </c>
      <c r="F106" s="11" t="s">
        <v>86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5">
        <f t="shared" si="13"/>
        <v>0</v>
      </c>
    </row>
    <row r="107" spans="2:19" x14ac:dyDescent="0.35">
      <c r="B107">
        <v>150</v>
      </c>
      <c r="C107" t="s">
        <v>152</v>
      </c>
      <c r="D107" t="s">
        <v>102</v>
      </c>
      <c r="E107">
        <v>1002005</v>
      </c>
      <c r="F107" s="11" t="s">
        <v>87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5">
        <f t="shared" si="13"/>
        <v>0</v>
      </c>
    </row>
    <row r="108" spans="2:19" x14ac:dyDescent="0.35">
      <c r="B108">
        <v>150</v>
      </c>
      <c r="C108" t="s">
        <v>152</v>
      </c>
      <c r="D108" t="s">
        <v>102</v>
      </c>
      <c r="E108">
        <v>1002006</v>
      </c>
      <c r="F108" s="11" t="s">
        <v>88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5">
        <f t="shared" si="13"/>
        <v>0</v>
      </c>
    </row>
    <row r="109" spans="2:19" x14ac:dyDescent="0.35">
      <c r="B109">
        <v>150</v>
      </c>
      <c r="C109" t="s">
        <v>152</v>
      </c>
      <c r="D109" t="s">
        <v>100</v>
      </c>
      <c r="E109">
        <v>1003001</v>
      </c>
      <c r="F109" t="s">
        <v>82</v>
      </c>
      <c r="G109" s="7">
        <f>'REC HUMANOS'!F28*30</f>
        <v>21000</v>
      </c>
      <c r="H109" s="7">
        <f>G109</f>
        <v>21000</v>
      </c>
      <c r="I109" s="7">
        <f t="shared" ref="I109:R109" si="14">H109</f>
        <v>21000</v>
      </c>
      <c r="J109" s="7">
        <f t="shared" si="14"/>
        <v>21000</v>
      </c>
      <c r="K109" s="7">
        <f t="shared" si="14"/>
        <v>21000</v>
      </c>
      <c r="L109" s="7">
        <f t="shared" si="14"/>
        <v>21000</v>
      </c>
      <c r="M109" s="7">
        <f t="shared" si="14"/>
        <v>21000</v>
      </c>
      <c r="N109" s="7">
        <f t="shared" si="14"/>
        <v>21000</v>
      </c>
      <c r="O109" s="7">
        <f t="shared" si="14"/>
        <v>21000</v>
      </c>
      <c r="P109" s="7">
        <f t="shared" si="14"/>
        <v>21000</v>
      </c>
      <c r="Q109" s="7">
        <f t="shared" si="14"/>
        <v>21000</v>
      </c>
      <c r="R109" s="7">
        <f t="shared" si="14"/>
        <v>21000</v>
      </c>
      <c r="S109" s="5">
        <f t="shared" si="13"/>
        <v>252000</v>
      </c>
    </row>
    <row r="110" spans="2:19" x14ac:dyDescent="0.35">
      <c r="B110">
        <v>150</v>
      </c>
      <c r="C110" t="s">
        <v>152</v>
      </c>
      <c r="D110" t="s">
        <v>100</v>
      </c>
      <c r="E110">
        <v>1003002</v>
      </c>
      <c r="F110" t="s">
        <v>74</v>
      </c>
      <c r="S110" s="5">
        <f t="shared" si="13"/>
        <v>0</v>
      </c>
    </row>
    <row r="111" spans="2:19" x14ac:dyDescent="0.35">
      <c r="B111">
        <v>150</v>
      </c>
      <c r="C111" t="s">
        <v>152</v>
      </c>
      <c r="D111" t="s">
        <v>100</v>
      </c>
      <c r="E111">
        <v>1003003</v>
      </c>
      <c r="F111" t="s">
        <v>77</v>
      </c>
      <c r="S111" s="5">
        <f t="shared" si="13"/>
        <v>0</v>
      </c>
    </row>
    <row r="112" spans="2:19" x14ac:dyDescent="0.35">
      <c r="B112">
        <v>150</v>
      </c>
      <c r="C112" t="s">
        <v>152</v>
      </c>
      <c r="D112" t="s">
        <v>100</v>
      </c>
      <c r="E112">
        <v>1003004</v>
      </c>
      <c r="F112" t="s">
        <v>75</v>
      </c>
      <c r="G112" s="5">
        <f>(((G109/G2)*'REC HUMANOS'!$K$4)/12)*'REC HUMANOS'!$K$6</f>
        <v>211.69354838709674</v>
      </c>
      <c r="H112" s="5">
        <f>(((H109/H2)*'REC HUMANOS'!$K$4)/12)*'REC HUMANOS'!$K$6</f>
        <v>234.375</v>
      </c>
      <c r="I112" s="5">
        <f>(((I109/I2)*'REC HUMANOS'!$K$4)/12)*'REC HUMANOS'!$K$6</f>
        <v>211.69354838709674</v>
      </c>
      <c r="J112" s="5">
        <f>(((J109/J2)*'REC HUMANOS'!$K$4)/12)*'REC HUMANOS'!$K$6</f>
        <v>218.75</v>
      </c>
      <c r="K112" s="5">
        <f>(((K109/K2)*'REC HUMANOS'!$K$4)/12)*'REC HUMANOS'!$K$6</f>
        <v>211.69354838709674</v>
      </c>
      <c r="L112" s="5">
        <f>(((L109/L2)*'REC HUMANOS'!$K$4)/12)*'REC HUMANOS'!$K$6</f>
        <v>218.75</v>
      </c>
      <c r="M112" s="5">
        <f>(((M109/M2)*'REC HUMANOS'!$K$4)/12)*'REC HUMANOS'!$K$6</f>
        <v>211.69354838709674</v>
      </c>
      <c r="N112" s="5">
        <f>(((N109/N2)*'REC HUMANOS'!$K$4)/12)*'REC HUMANOS'!$K$6</f>
        <v>211.69354838709674</v>
      </c>
      <c r="O112" s="5">
        <f>(((O109/O2)*'REC HUMANOS'!$K$4)/12)*'REC HUMANOS'!$K$6</f>
        <v>218.75</v>
      </c>
      <c r="P112" s="5">
        <f>(((P109/P2)*'REC HUMANOS'!$K$4)/12)*'REC HUMANOS'!$K$6</f>
        <v>211.69354838709674</v>
      </c>
      <c r="Q112" s="5">
        <f>(((Q109/Q2)*'REC HUMANOS'!$K$4)/12)*'REC HUMANOS'!$K$6</f>
        <v>218.75</v>
      </c>
      <c r="R112" s="5">
        <f>(((R109/R2)*'REC HUMANOS'!$K$4)/12)*'REC HUMANOS'!$K$6</f>
        <v>211.69354838709674</v>
      </c>
      <c r="S112" s="5">
        <f t="shared" si="13"/>
        <v>2591.2298387096771</v>
      </c>
    </row>
    <row r="113" spans="2:19" x14ac:dyDescent="0.35">
      <c r="B113">
        <v>150</v>
      </c>
      <c r="C113" t="s">
        <v>152</v>
      </c>
      <c r="D113" t="s">
        <v>100</v>
      </c>
      <c r="E113">
        <v>1003005</v>
      </c>
      <c r="F113" t="s">
        <v>76</v>
      </c>
      <c r="G113" s="5">
        <f>(((G109/G2)*'REC HUMANOS'!$K$4/12))</f>
        <v>846.77419354838696</v>
      </c>
      <c r="H113" s="5">
        <f>(((H109/H2)*'REC HUMANOS'!$K$4/12))</f>
        <v>937.5</v>
      </c>
      <c r="I113" s="5">
        <f>(((I109/I2)*'REC HUMANOS'!$K$4/12))</f>
        <v>846.77419354838696</v>
      </c>
      <c r="J113" s="5">
        <f>(((J109/J2)*'REC HUMANOS'!$K$4/12))</f>
        <v>875</v>
      </c>
      <c r="K113" s="5">
        <f>(((K109/K2)*'REC HUMANOS'!$K$4/12))</f>
        <v>846.77419354838696</v>
      </c>
      <c r="L113" s="5">
        <f>(((L109/L2)*'REC HUMANOS'!$K$4/12))</f>
        <v>875</v>
      </c>
      <c r="M113" s="5">
        <f>(((M109/M2)*'REC HUMANOS'!$K$4/12))</f>
        <v>846.77419354838696</v>
      </c>
      <c r="N113" s="5">
        <f>(((N109/N2)*'REC HUMANOS'!$K$4/12))</f>
        <v>846.77419354838696</v>
      </c>
      <c r="O113" s="5">
        <f>(((O109/O2)*'REC HUMANOS'!$K$4/12))</f>
        <v>875</v>
      </c>
      <c r="P113" s="5">
        <f>(((P109/P2)*'REC HUMANOS'!$K$4/12))</f>
        <v>846.77419354838696</v>
      </c>
      <c r="Q113" s="5">
        <f>(((Q109/Q2)*'REC HUMANOS'!$K$4/12))</f>
        <v>875</v>
      </c>
      <c r="R113" s="5">
        <f>(((R109/R2)*'REC HUMANOS'!$K$4/12))</f>
        <v>846.77419354838696</v>
      </c>
      <c r="S113" s="5">
        <f t="shared" si="13"/>
        <v>10364.919354838708</v>
      </c>
    </row>
    <row r="114" spans="2:19" x14ac:dyDescent="0.35">
      <c r="B114">
        <v>150</v>
      </c>
      <c r="C114" t="s">
        <v>152</v>
      </c>
      <c r="D114" t="s">
        <v>100</v>
      </c>
      <c r="E114">
        <v>1003006</v>
      </c>
      <c r="F114" t="s">
        <v>78</v>
      </c>
      <c r="G114" s="2">
        <f>(G109*'REC HUMANOS'!$G$2)*'REC HUMANOS'!$K$9</f>
        <v>4407.0600000000004</v>
      </c>
      <c r="H114" s="2">
        <f>(H109*'REC HUMANOS'!$G$2)*'REC HUMANOS'!$K$9</f>
        <v>4407.0600000000004</v>
      </c>
      <c r="I114" s="2">
        <f>(I109*'REC HUMANOS'!$G$2)*'REC HUMANOS'!$K$9</f>
        <v>4407.0600000000004</v>
      </c>
      <c r="J114" s="2">
        <f>(J109*'REC HUMANOS'!$G$2)*'REC HUMANOS'!$K$9</f>
        <v>4407.0600000000004</v>
      </c>
      <c r="K114" s="2">
        <f>(K109*'REC HUMANOS'!$G$2)*'REC HUMANOS'!$K$9</f>
        <v>4407.0600000000004</v>
      </c>
      <c r="L114" s="2">
        <f>(L109*'REC HUMANOS'!$G$2)*'REC HUMANOS'!$K$9</f>
        <v>4407.0600000000004</v>
      </c>
      <c r="M114" s="2">
        <f>(M109*'REC HUMANOS'!$G$2)*'REC HUMANOS'!$K$9</f>
        <v>4407.0600000000004</v>
      </c>
      <c r="N114" s="2">
        <f>(N109*'REC HUMANOS'!$G$2)*'REC HUMANOS'!$K$9</f>
        <v>4407.0600000000004</v>
      </c>
      <c r="O114" s="2">
        <f>(O109*'REC HUMANOS'!$G$2)*'REC HUMANOS'!$K$9</f>
        <v>4407.0600000000004</v>
      </c>
      <c r="P114" s="2">
        <f>(P109*'REC HUMANOS'!$G$2)*'REC HUMANOS'!$K$9</f>
        <v>4407.0600000000004</v>
      </c>
      <c r="Q114" s="2">
        <f>(Q109*'REC HUMANOS'!$G$2)*'REC HUMANOS'!$K$9</f>
        <v>4407.0600000000004</v>
      </c>
      <c r="R114" s="2">
        <f>(R109*'REC HUMANOS'!$G$2)*'REC HUMANOS'!$K$9</f>
        <v>4407.0600000000004</v>
      </c>
      <c r="S114" s="5">
        <f t="shared" si="13"/>
        <v>52884.719999999994</v>
      </c>
    </row>
    <row r="115" spans="2:19" x14ac:dyDescent="0.35">
      <c r="B115">
        <v>150</v>
      </c>
      <c r="C115" t="s">
        <v>152</v>
      </c>
      <c r="D115" t="s">
        <v>100</v>
      </c>
      <c r="E115">
        <v>1003007</v>
      </c>
      <c r="F115" t="s">
        <v>79</v>
      </c>
      <c r="G115" s="2">
        <f>(G109*'REC HUMANOS'!$G$2)*'REC HUMANOS'!$K$10</f>
        <v>991.58849999999995</v>
      </c>
      <c r="H115" s="2">
        <f>(H109*'REC HUMANOS'!$G$2)*'REC HUMANOS'!$K$10</f>
        <v>991.58849999999995</v>
      </c>
      <c r="I115" s="2">
        <f>(I109*'REC HUMANOS'!$G$2)*'REC HUMANOS'!$K$10</f>
        <v>991.58849999999995</v>
      </c>
      <c r="J115" s="2">
        <f>(J109*'REC HUMANOS'!$G$2)*'REC HUMANOS'!$K$10</f>
        <v>991.58849999999995</v>
      </c>
      <c r="K115" s="2">
        <f>(K109*'REC HUMANOS'!$G$2)*'REC HUMANOS'!$K$10</f>
        <v>991.58849999999995</v>
      </c>
      <c r="L115" s="2">
        <f>(L109*'REC HUMANOS'!$G$2)*'REC HUMANOS'!$K$10</f>
        <v>991.58849999999995</v>
      </c>
      <c r="M115" s="2">
        <f>(M109*'REC HUMANOS'!$G$2)*'REC HUMANOS'!$K$10</f>
        <v>991.58849999999995</v>
      </c>
      <c r="N115" s="2">
        <f>(N109*'REC HUMANOS'!$G$2)*'REC HUMANOS'!$K$10</f>
        <v>991.58849999999995</v>
      </c>
      <c r="O115" s="2">
        <f>(O109*'REC HUMANOS'!$G$2)*'REC HUMANOS'!$K$10</f>
        <v>991.58849999999995</v>
      </c>
      <c r="P115" s="2">
        <f>(P109*'REC HUMANOS'!$G$2)*'REC HUMANOS'!$K$10</f>
        <v>991.58849999999995</v>
      </c>
      <c r="Q115" s="2">
        <f>(Q109*'REC HUMANOS'!$G$2)*'REC HUMANOS'!$K$10</f>
        <v>991.58849999999995</v>
      </c>
      <c r="R115" s="2">
        <f>(R109*'REC HUMANOS'!$G$2)*'REC HUMANOS'!$K$10</f>
        <v>991.58849999999995</v>
      </c>
      <c r="S115" s="5">
        <f t="shared" si="13"/>
        <v>11899.062</v>
      </c>
    </row>
    <row r="116" spans="2:19" x14ac:dyDescent="0.35">
      <c r="B116">
        <v>150</v>
      </c>
      <c r="C116" t="s">
        <v>152</v>
      </c>
      <c r="D116" t="s">
        <v>100</v>
      </c>
      <c r="E116">
        <v>1003008</v>
      </c>
      <c r="F116" t="s">
        <v>81</v>
      </c>
      <c r="G116" s="2">
        <f>(G109*'REC HUMANOS'!$G$2)*'REC HUMANOS'!$K$11</f>
        <v>1101.7650000000001</v>
      </c>
      <c r="H116" s="2">
        <f>(H109*'REC HUMANOS'!$G$2)*'REC HUMANOS'!$K$11</f>
        <v>1101.7650000000001</v>
      </c>
      <c r="I116" s="2">
        <f>(I109*'REC HUMANOS'!$G$2)*'REC HUMANOS'!$K$11</f>
        <v>1101.7650000000001</v>
      </c>
      <c r="J116" s="2">
        <f>(J109*'REC HUMANOS'!$G$2)*'REC HUMANOS'!$K$11</f>
        <v>1101.7650000000001</v>
      </c>
      <c r="K116" s="2">
        <f>(K109*'REC HUMANOS'!$G$2)*'REC HUMANOS'!$K$11</f>
        <v>1101.7650000000001</v>
      </c>
      <c r="L116" s="2">
        <f>(L109*'REC HUMANOS'!$G$2)*'REC HUMANOS'!$K$11</f>
        <v>1101.7650000000001</v>
      </c>
      <c r="M116" s="2">
        <f>(M109*'REC HUMANOS'!$G$2)*'REC HUMANOS'!$K$11</f>
        <v>1101.7650000000001</v>
      </c>
      <c r="N116" s="2">
        <f>(N109*'REC HUMANOS'!$G$2)*'REC HUMANOS'!$K$11</f>
        <v>1101.7650000000001</v>
      </c>
      <c r="O116" s="2">
        <f>(O109*'REC HUMANOS'!$G$2)*'REC HUMANOS'!$K$11</f>
        <v>1101.7650000000001</v>
      </c>
      <c r="P116" s="2">
        <f>(P109*'REC HUMANOS'!$G$2)*'REC HUMANOS'!$K$11</f>
        <v>1101.7650000000001</v>
      </c>
      <c r="Q116" s="2">
        <f>(Q109*'REC HUMANOS'!$G$2)*'REC HUMANOS'!$K$11</f>
        <v>1101.7650000000001</v>
      </c>
      <c r="R116" s="2">
        <f>(R109*'REC HUMANOS'!$G$2)*'REC HUMANOS'!$K$11</f>
        <v>1101.7650000000001</v>
      </c>
      <c r="S116" s="5">
        <f t="shared" si="13"/>
        <v>13221.179999999998</v>
      </c>
    </row>
    <row r="117" spans="2:19" x14ac:dyDescent="0.35">
      <c r="B117">
        <v>150</v>
      </c>
      <c r="C117" t="s">
        <v>152</v>
      </c>
      <c r="D117" t="s">
        <v>100</v>
      </c>
      <c r="E117">
        <v>1003009</v>
      </c>
      <c r="F117" t="s">
        <v>80</v>
      </c>
      <c r="G117" s="2">
        <f>(G109*'REC HUMANOS'!$G$2)*'REC HUMANOS'!$K$14</f>
        <v>661.05899999999997</v>
      </c>
      <c r="H117" s="2">
        <f>(H109*'REC HUMANOS'!$G$2)*'REC HUMANOS'!$K$14</f>
        <v>661.05899999999997</v>
      </c>
      <c r="I117" s="2">
        <f>(I109*'REC HUMANOS'!$G$2)*'REC HUMANOS'!$K$14</f>
        <v>661.05899999999997</v>
      </c>
      <c r="J117" s="2">
        <f>(J109*'REC HUMANOS'!$G$2)*'REC HUMANOS'!$K$14</f>
        <v>661.05899999999997</v>
      </c>
      <c r="K117" s="2">
        <f>(K109*'REC HUMANOS'!$G$2)*'REC HUMANOS'!$K$14</f>
        <v>661.05899999999997</v>
      </c>
      <c r="L117" s="2">
        <f>(L109*'REC HUMANOS'!$G$2)*'REC HUMANOS'!$K$14</f>
        <v>661.05899999999997</v>
      </c>
      <c r="M117" s="2">
        <f>(M109*'REC HUMANOS'!$G$2)*'REC HUMANOS'!$K$14</f>
        <v>661.05899999999997</v>
      </c>
      <c r="N117" s="2">
        <f>(N109*'REC HUMANOS'!$G$2)*'REC HUMANOS'!$K$14</f>
        <v>661.05899999999997</v>
      </c>
      <c r="O117" s="2">
        <f>(O109*'REC HUMANOS'!$G$2)*'REC HUMANOS'!$K$14</f>
        <v>661.05899999999997</v>
      </c>
      <c r="P117" s="2">
        <f>(P109*'REC HUMANOS'!$G$2)*'REC HUMANOS'!$K$14</f>
        <v>661.05899999999997</v>
      </c>
      <c r="Q117" s="2">
        <f>(Q109*'REC HUMANOS'!$G$2)*'REC HUMANOS'!$K$14</f>
        <v>661.05899999999997</v>
      </c>
      <c r="R117" s="2">
        <f>(R109*'REC HUMANOS'!$G$2)*'REC HUMANOS'!$K$14</f>
        <v>661.05899999999997</v>
      </c>
      <c r="S117" s="5">
        <f t="shared" si="13"/>
        <v>7932.7080000000014</v>
      </c>
    </row>
    <row r="118" spans="2:19" x14ac:dyDescent="0.35">
      <c r="B118">
        <v>150</v>
      </c>
      <c r="C118" t="s">
        <v>152</v>
      </c>
      <c r="D118" t="s">
        <v>100</v>
      </c>
      <c r="E118">
        <v>1003101</v>
      </c>
      <c r="F118" t="s">
        <v>89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f t="shared" si="13"/>
        <v>0</v>
      </c>
    </row>
    <row r="119" spans="2:19" x14ac:dyDescent="0.35">
      <c r="B119">
        <v>150</v>
      </c>
      <c r="C119" t="s">
        <v>152</v>
      </c>
      <c r="D119" t="s">
        <v>100</v>
      </c>
      <c r="E119">
        <v>1003102</v>
      </c>
      <c r="F119" t="s">
        <v>90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f t="shared" si="13"/>
        <v>0</v>
      </c>
    </row>
    <row r="120" spans="2:19" x14ac:dyDescent="0.35">
      <c r="B120">
        <v>150</v>
      </c>
      <c r="C120" t="s">
        <v>152</v>
      </c>
      <c r="D120" t="s">
        <v>100</v>
      </c>
      <c r="E120">
        <v>1003103</v>
      </c>
      <c r="F120" t="s">
        <v>91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f t="shared" si="13"/>
        <v>0</v>
      </c>
    </row>
    <row r="121" spans="2:19" x14ac:dyDescent="0.35">
      <c r="B121">
        <v>150</v>
      </c>
      <c r="C121" t="s">
        <v>152</v>
      </c>
      <c r="D121" t="s">
        <v>100</v>
      </c>
      <c r="E121">
        <v>1003104</v>
      </c>
      <c r="F121" t="s">
        <v>92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f t="shared" si="13"/>
        <v>0</v>
      </c>
    </row>
    <row r="122" spans="2:19" x14ac:dyDescent="0.35">
      <c r="C122" t="s">
        <v>96</v>
      </c>
      <c r="G122" s="5">
        <f>SUM(G94:G121)</f>
        <v>29419.940241935488</v>
      </c>
      <c r="H122" s="5">
        <f t="shared" ref="H122" si="15">SUM(H94:H121)</f>
        <v>29533.347500000003</v>
      </c>
      <c r="I122" s="5">
        <f t="shared" ref="I122" si="16">SUM(I94:I121)</f>
        <v>29419.940241935488</v>
      </c>
      <c r="J122" s="5">
        <f t="shared" ref="J122" si="17">SUM(J94:J121)</f>
        <v>29455.222500000003</v>
      </c>
      <c r="K122" s="5">
        <f t="shared" ref="K122" si="18">SUM(K94:K121)</f>
        <v>29419.940241935488</v>
      </c>
      <c r="L122" s="5">
        <f t="shared" ref="L122" si="19">SUM(L94:L121)</f>
        <v>29455.222500000003</v>
      </c>
      <c r="M122" s="5">
        <f t="shared" ref="M122" si="20">SUM(M94:M121)</f>
        <v>29419.940241935488</v>
      </c>
      <c r="N122" s="5">
        <f t="shared" ref="N122" si="21">SUM(N94:N121)</f>
        <v>29419.940241935488</v>
      </c>
      <c r="O122" s="5">
        <f t="shared" ref="O122" si="22">SUM(O94:O121)</f>
        <v>29455.222500000003</v>
      </c>
      <c r="P122" s="5">
        <f t="shared" ref="P122" si="23">SUM(P94:P121)</f>
        <v>29419.940241935488</v>
      </c>
      <c r="Q122" s="5">
        <f t="shared" ref="Q122" si="24">SUM(Q94:Q121)</f>
        <v>29455.222500000003</v>
      </c>
      <c r="R122" s="5">
        <f t="shared" ref="R122" si="25">SUM(R94:R121)</f>
        <v>29419.940241935488</v>
      </c>
      <c r="S122" s="5">
        <f t="shared" ref="S122" si="26">SUM(S94:S121)</f>
        <v>353293.81919354829</v>
      </c>
    </row>
    <row r="124" spans="2:19" x14ac:dyDescent="0.35">
      <c r="B124">
        <v>160</v>
      </c>
      <c r="C124" t="s">
        <v>153</v>
      </c>
      <c r="D124" t="s">
        <v>101</v>
      </c>
      <c r="E124">
        <v>1001001</v>
      </c>
      <c r="F124" t="s">
        <v>73</v>
      </c>
      <c r="G124" s="5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5">
        <f t="shared" ref="S124:S151" si="27">SUM(G124:R124)</f>
        <v>0</v>
      </c>
    </row>
    <row r="125" spans="2:19" x14ac:dyDescent="0.35">
      <c r="B125">
        <v>160</v>
      </c>
      <c r="C125" t="s">
        <v>153</v>
      </c>
      <c r="D125" t="s">
        <v>101</v>
      </c>
      <c r="E125">
        <v>1001002</v>
      </c>
      <c r="F125" t="s">
        <v>74</v>
      </c>
      <c r="S125" s="5">
        <f t="shared" si="27"/>
        <v>0</v>
      </c>
    </row>
    <row r="126" spans="2:19" x14ac:dyDescent="0.35">
      <c r="B126">
        <v>160</v>
      </c>
      <c r="C126" t="s">
        <v>153</v>
      </c>
      <c r="D126" t="s">
        <v>101</v>
      </c>
      <c r="E126">
        <v>1001003</v>
      </c>
      <c r="F126" t="s">
        <v>77</v>
      </c>
      <c r="S126" s="5">
        <f t="shared" si="27"/>
        <v>0</v>
      </c>
    </row>
    <row r="127" spans="2:19" x14ac:dyDescent="0.35">
      <c r="B127">
        <v>160</v>
      </c>
      <c r="C127" t="s">
        <v>153</v>
      </c>
      <c r="D127" t="s">
        <v>101</v>
      </c>
      <c r="E127">
        <v>1001004</v>
      </c>
      <c r="F127" t="s">
        <v>75</v>
      </c>
      <c r="G127" s="5">
        <f>(((G124/G62)*'REC HUMANOS'!$K$4)/12)*'REC HUMANOS'!$K$6</f>
        <v>0</v>
      </c>
      <c r="H127" s="5">
        <f>(((H124/H62)*'REC HUMANOS'!$K$4)/12)*'REC HUMANOS'!$K$6</f>
        <v>0</v>
      </c>
      <c r="I127" s="5">
        <f>(((I124/I62)*'REC HUMANOS'!$K$4)/12)*'REC HUMANOS'!$K$6</f>
        <v>0</v>
      </c>
      <c r="J127" s="5">
        <f>(((J124/J62)*'REC HUMANOS'!$K$4)/12)*'REC HUMANOS'!$K$6</f>
        <v>0</v>
      </c>
      <c r="K127" s="5">
        <f>(((K124/K62)*'REC HUMANOS'!$K$4)/12)*'REC HUMANOS'!$K$6</f>
        <v>0</v>
      </c>
      <c r="L127" s="5">
        <f>(((L124/L62)*'REC HUMANOS'!$K$4)/12)*'REC HUMANOS'!$K$6</f>
        <v>0</v>
      </c>
      <c r="M127" s="5">
        <f>(((M124/M62)*'REC HUMANOS'!$K$4)/12)*'REC HUMANOS'!$K$6</f>
        <v>0</v>
      </c>
      <c r="N127" s="5">
        <f>(((N124/N62)*'REC HUMANOS'!$K$4)/12)*'REC HUMANOS'!$K$6</f>
        <v>0</v>
      </c>
      <c r="O127" s="5">
        <f>(((O124/O62)*'REC HUMANOS'!$K$4)/12)*'REC HUMANOS'!$K$6</f>
        <v>0</v>
      </c>
      <c r="P127" s="5">
        <f>(((P124/P62)*'REC HUMANOS'!$K$4)/12)*'REC HUMANOS'!$K$6</f>
        <v>0</v>
      </c>
      <c r="Q127" s="5">
        <f>(((Q124/Q62)*'REC HUMANOS'!$K$4)/12)*'REC HUMANOS'!$K$6</f>
        <v>0</v>
      </c>
      <c r="R127" s="5">
        <f>(((R124/R62)*'REC HUMANOS'!$K$4)/12)*'REC HUMANOS'!$K$6</f>
        <v>0</v>
      </c>
      <c r="S127" s="5">
        <f t="shared" si="27"/>
        <v>0</v>
      </c>
    </row>
    <row r="128" spans="2:19" x14ac:dyDescent="0.35">
      <c r="B128">
        <v>160</v>
      </c>
      <c r="C128" t="s">
        <v>153</v>
      </c>
      <c r="D128" t="s">
        <v>101</v>
      </c>
      <c r="E128">
        <v>1001005</v>
      </c>
      <c r="F128" t="s">
        <v>76</v>
      </c>
      <c r="G128" s="5">
        <f>(((G124/G62)*'REC HUMANOS'!$K$4)/12)</f>
        <v>0</v>
      </c>
      <c r="H128" s="5">
        <f>(((H124/H62)*'REC HUMANOS'!$K$4)/12)</f>
        <v>0</v>
      </c>
      <c r="I128" s="5">
        <f>(((I124/I62)*'REC HUMANOS'!$K$4)/12)</f>
        <v>0</v>
      </c>
      <c r="J128" s="5">
        <f>(((J124/J62)*'REC HUMANOS'!$K$4)/12)</f>
        <v>0</v>
      </c>
      <c r="K128" s="5">
        <f>(((K124/K62)*'REC HUMANOS'!$K$4)/12)</f>
        <v>0</v>
      </c>
      <c r="L128" s="5">
        <f>(((L124/L62)*'REC HUMANOS'!$K$4)/12)</f>
        <v>0</v>
      </c>
      <c r="M128" s="5">
        <f>(((M124/M62)*'REC HUMANOS'!$K$4)/12)</f>
        <v>0</v>
      </c>
      <c r="N128" s="5">
        <f>(((N124/N62)*'REC HUMANOS'!$K$4)/12)</f>
        <v>0</v>
      </c>
      <c r="O128" s="5">
        <f>(((O124/O62)*'REC HUMANOS'!$K$4)/12)</f>
        <v>0</v>
      </c>
      <c r="P128" s="5">
        <f>(((P124/P62)*'REC HUMANOS'!$K$4)/12)</f>
        <v>0</v>
      </c>
      <c r="Q128" s="5">
        <f>(((Q124/Q62)*'REC HUMANOS'!$K$4)/12)</f>
        <v>0</v>
      </c>
      <c r="R128" s="5">
        <f>(((R124/R62)*'REC HUMANOS'!$K$4)/12)</f>
        <v>0</v>
      </c>
      <c r="S128" s="5">
        <f t="shared" si="27"/>
        <v>0</v>
      </c>
    </row>
    <row r="129" spans="2:19" x14ac:dyDescent="0.35">
      <c r="B129">
        <v>160</v>
      </c>
      <c r="C129" t="s">
        <v>153</v>
      </c>
      <c r="D129" t="s">
        <v>101</v>
      </c>
      <c r="E129">
        <v>1001006</v>
      </c>
      <c r="F129" t="s">
        <v>78</v>
      </c>
      <c r="G129" s="2">
        <f>(G124*'REC HUMANOS'!$G$2)*'REC HUMANOS'!$K$9</f>
        <v>0</v>
      </c>
      <c r="H129" s="2">
        <f>(H124*'REC HUMANOS'!$G$2)*'REC HUMANOS'!$K$9</f>
        <v>0</v>
      </c>
      <c r="I129" s="2">
        <f>(I124*'REC HUMANOS'!$G$2)*'REC HUMANOS'!$K$9</f>
        <v>0</v>
      </c>
      <c r="J129" s="2">
        <f>(J124*'REC HUMANOS'!$G$2)*'REC HUMANOS'!$K$9</f>
        <v>0</v>
      </c>
      <c r="K129" s="2">
        <f>(K124*'REC HUMANOS'!$G$2)*'REC HUMANOS'!$K$9</f>
        <v>0</v>
      </c>
      <c r="L129" s="2">
        <f>(L124*'REC HUMANOS'!$G$2)*'REC HUMANOS'!$K$9</f>
        <v>0</v>
      </c>
      <c r="M129" s="2">
        <f>(M124*'REC HUMANOS'!$G$2)*'REC HUMANOS'!$K$9</f>
        <v>0</v>
      </c>
      <c r="N129" s="2">
        <f>(N124*'REC HUMANOS'!$G$2)*'REC HUMANOS'!$K$9</f>
        <v>0</v>
      </c>
      <c r="O129" s="2">
        <f>(O124*'REC HUMANOS'!$G$2)*'REC HUMANOS'!$K$9</f>
        <v>0</v>
      </c>
      <c r="P129" s="2">
        <f>(P124*'REC HUMANOS'!$G$2)*'REC HUMANOS'!$K$9</f>
        <v>0</v>
      </c>
      <c r="Q129" s="2">
        <f>(Q124*'REC HUMANOS'!$G$2)*'REC HUMANOS'!$K$9</f>
        <v>0</v>
      </c>
      <c r="R129" s="2">
        <f>(R124*'REC HUMANOS'!$G$2)*'REC HUMANOS'!$K$9</f>
        <v>0</v>
      </c>
      <c r="S129" s="5">
        <f t="shared" si="27"/>
        <v>0</v>
      </c>
    </row>
    <row r="130" spans="2:19" x14ac:dyDescent="0.35">
      <c r="B130">
        <v>160</v>
      </c>
      <c r="C130" t="s">
        <v>153</v>
      </c>
      <c r="D130" t="s">
        <v>101</v>
      </c>
      <c r="E130">
        <v>1001007</v>
      </c>
      <c r="F130" t="s">
        <v>79</v>
      </c>
      <c r="G130" s="2">
        <f>(G124*'REC HUMANOS'!$G$2)*'REC HUMANOS'!$K$10</f>
        <v>0</v>
      </c>
      <c r="H130" s="2">
        <f>(H124*'REC HUMANOS'!$G$2)*'REC HUMANOS'!$K$10</f>
        <v>0</v>
      </c>
      <c r="I130" s="2">
        <f>(I124*'REC HUMANOS'!$G$2)*'REC HUMANOS'!$K$10</f>
        <v>0</v>
      </c>
      <c r="J130" s="2">
        <f>(J124*'REC HUMANOS'!$G$2)*'REC HUMANOS'!$K$10</f>
        <v>0</v>
      </c>
      <c r="K130" s="2">
        <f>(K124*'REC HUMANOS'!$G$2)*'REC HUMANOS'!$K$10</f>
        <v>0</v>
      </c>
      <c r="L130" s="2">
        <f>(L124*'REC HUMANOS'!$G$2)*'REC HUMANOS'!$K$10</f>
        <v>0</v>
      </c>
      <c r="M130" s="2">
        <f>(M124*'REC HUMANOS'!$G$2)*'REC HUMANOS'!$K$10</f>
        <v>0</v>
      </c>
      <c r="N130" s="2">
        <f>(N124*'REC HUMANOS'!$G$2)*'REC HUMANOS'!$K$10</f>
        <v>0</v>
      </c>
      <c r="O130" s="2">
        <f>(O124*'REC HUMANOS'!$G$2)*'REC HUMANOS'!$K$10</f>
        <v>0</v>
      </c>
      <c r="P130" s="2">
        <f>(P124*'REC HUMANOS'!$G$2)*'REC HUMANOS'!$K$10</f>
        <v>0</v>
      </c>
      <c r="Q130" s="2">
        <f>(Q124*'REC HUMANOS'!$G$2)*'REC HUMANOS'!$K$10</f>
        <v>0</v>
      </c>
      <c r="R130" s="2">
        <f>(R124*'REC HUMANOS'!$G$2)*'REC HUMANOS'!$K$10</f>
        <v>0</v>
      </c>
      <c r="S130" s="5">
        <f t="shared" si="27"/>
        <v>0</v>
      </c>
    </row>
    <row r="131" spans="2:19" x14ac:dyDescent="0.35">
      <c r="B131">
        <v>160</v>
      </c>
      <c r="C131" t="s">
        <v>153</v>
      </c>
      <c r="D131" t="s">
        <v>101</v>
      </c>
      <c r="E131">
        <v>1001008</v>
      </c>
      <c r="F131" t="s">
        <v>81</v>
      </c>
      <c r="G131" s="2">
        <f>(G124*'REC HUMANOS'!$G$2)*'REC HUMANOS'!$K$11</f>
        <v>0</v>
      </c>
      <c r="H131" s="2">
        <f>(H124*'REC HUMANOS'!$G$2)*'REC HUMANOS'!$K$11</f>
        <v>0</v>
      </c>
      <c r="I131" s="2">
        <f>(I124*'REC HUMANOS'!$G$2)*'REC HUMANOS'!$K$11</f>
        <v>0</v>
      </c>
      <c r="J131" s="2">
        <f>(J124*'REC HUMANOS'!$G$2)*'REC HUMANOS'!$K$11</f>
        <v>0</v>
      </c>
      <c r="K131" s="2">
        <f>(K124*'REC HUMANOS'!$G$2)*'REC HUMANOS'!$K$11</f>
        <v>0</v>
      </c>
      <c r="L131" s="2">
        <f>(L124*'REC HUMANOS'!$G$2)*'REC HUMANOS'!$K$11</f>
        <v>0</v>
      </c>
      <c r="M131" s="2">
        <f>(M124*'REC HUMANOS'!$G$2)*'REC HUMANOS'!$K$11</f>
        <v>0</v>
      </c>
      <c r="N131" s="2">
        <f>(N124*'REC HUMANOS'!$G$2)*'REC HUMANOS'!$K$11</f>
        <v>0</v>
      </c>
      <c r="O131" s="2">
        <f>(O124*'REC HUMANOS'!$G$2)*'REC HUMANOS'!$K$11</f>
        <v>0</v>
      </c>
      <c r="P131" s="2">
        <f>(P124*'REC HUMANOS'!$G$2)*'REC HUMANOS'!$K$11</f>
        <v>0</v>
      </c>
      <c r="Q131" s="2">
        <f>(Q124*'REC HUMANOS'!$G$2)*'REC HUMANOS'!$K$11</f>
        <v>0</v>
      </c>
      <c r="R131" s="2">
        <f>(R124*'REC HUMANOS'!$G$2)*'REC HUMANOS'!$K$11</f>
        <v>0</v>
      </c>
      <c r="S131" s="5">
        <f t="shared" si="27"/>
        <v>0</v>
      </c>
    </row>
    <row r="132" spans="2:19" x14ac:dyDescent="0.35">
      <c r="B132">
        <v>160</v>
      </c>
      <c r="C132" t="s">
        <v>153</v>
      </c>
      <c r="D132" t="s">
        <v>101</v>
      </c>
      <c r="E132">
        <v>1001009</v>
      </c>
      <c r="F132" t="s">
        <v>80</v>
      </c>
      <c r="G132" s="2">
        <f>(G124*'REC HUMANOS'!$G$2)*'REC HUMANOS'!$K$14</f>
        <v>0</v>
      </c>
      <c r="H132" s="2">
        <f>(H124*'REC HUMANOS'!$G$2)*'REC HUMANOS'!$K$14</f>
        <v>0</v>
      </c>
      <c r="I132" s="2">
        <f>(I124*'REC HUMANOS'!$G$2)*'REC HUMANOS'!$K$14</f>
        <v>0</v>
      </c>
      <c r="J132" s="2">
        <f>(J124*'REC HUMANOS'!$G$2)*'REC HUMANOS'!$K$14</f>
        <v>0</v>
      </c>
      <c r="K132" s="2">
        <f>(K124*'REC HUMANOS'!$G$2)*'REC HUMANOS'!$K$14</f>
        <v>0</v>
      </c>
      <c r="L132" s="2">
        <f>(L124*'REC HUMANOS'!$G$2)*'REC HUMANOS'!$K$14</f>
        <v>0</v>
      </c>
      <c r="M132" s="2">
        <f>(M124*'REC HUMANOS'!$G$2)*'REC HUMANOS'!$K$14</f>
        <v>0</v>
      </c>
      <c r="N132" s="2">
        <f>(N124*'REC HUMANOS'!$G$2)*'REC HUMANOS'!$K$14</f>
        <v>0</v>
      </c>
      <c r="O132" s="2">
        <f>(O124*'REC HUMANOS'!$G$2)*'REC HUMANOS'!$K$14</f>
        <v>0</v>
      </c>
      <c r="P132" s="2">
        <f>(P124*'REC HUMANOS'!$G$2)*'REC HUMANOS'!$K$14</f>
        <v>0</v>
      </c>
      <c r="Q132" s="2">
        <f>(Q124*'REC HUMANOS'!$G$2)*'REC HUMANOS'!$K$14</f>
        <v>0</v>
      </c>
      <c r="R132" s="2">
        <f>(R124*'REC HUMANOS'!$G$2)*'REC HUMANOS'!$K$14</f>
        <v>0</v>
      </c>
      <c r="S132" s="5">
        <f t="shared" si="27"/>
        <v>0</v>
      </c>
    </row>
    <row r="133" spans="2:19" x14ac:dyDescent="0.35">
      <c r="B133">
        <v>160</v>
      </c>
      <c r="C133" t="s">
        <v>153</v>
      </c>
      <c r="D133" t="s">
        <v>102</v>
      </c>
      <c r="E133">
        <v>1002001</v>
      </c>
      <c r="F133" s="11" t="s">
        <v>83</v>
      </c>
      <c r="G133" s="2">
        <v>150</v>
      </c>
      <c r="H133" s="2">
        <v>150</v>
      </c>
      <c r="I133" s="2">
        <v>150</v>
      </c>
      <c r="J133" s="2">
        <v>150</v>
      </c>
      <c r="K133" s="2">
        <v>150</v>
      </c>
      <c r="L133" s="2">
        <v>150</v>
      </c>
      <c r="M133" s="2">
        <v>150</v>
      </c>
      <c r="N133" s="2">
        <v>150</v>
      </c>
      <c r="O133" s="2">
        <v>150</v>
      </c>
      <c r="P133" s="2">
        <v>150</v>
      </c>
      <c r="Q133" s="2">
        <v>150</v>
      </c>
      <c r="R133" s="2">
        <v>150</v>
      </c>
      <c r="S133" s="5">
        <f t="shared" si="27"/>
        <v>1800</v>
      </c>
    </row>
    <row r="134" spans="2:19" x14ac:dyDescent="0.35">
      <c r="B134">
        <v>160</v>
      </c>
      <c r="C134" t="s">
        <v>153</v>
      </c>
      <c r="D134" t="s">
        <v>102</v>
      </c>
      <c r="E134">
        <v>1002002</v>
      </c>
      <c r="F134" s="11" t="s">
        <v>84</v>
      </c>
      <c r="G134" s="2">
        <v>50</v>
      </c>
      <c r="H134" s="2">
        <v>50</v>
      </c>
      <c r="I134" s="2">
        <v>50</v>
      </c>
      <c r="J134" s="2">
        <v>50</v>
      </c>
      <c r="K134" s="2">
        <v>50</v>
      </c>
      <c r="L134" s="2">
        <v>50</v>
      </c>
      <c r="M134" s="2">
        <v>50</v>
      </c>
      <c r="N134" s="2">
        <v>50</v>
      </c>
      <c r="O134" s="2">
        <v>50</v>
      </c>
      <c r="P134" s="2">
        <v>50</v>
      </c>
      <c r="Q134" s="2">
        <v>50</v>
      </c>
      <c r="R134" s="2">
        <v>50</v>
      </c>
      <c r="S134" s="5">
        <f t="shared" si="27"/>
        <v>600</v>
      </c>
    </row>
    <row r="135" spans="2:19" x14ac:dyDescent="0.35">
      <c r="B135">
        <v>160</v>
      </c>
      <c r="C135" t="s">
        <v>153</v>
      </c>
      <c r="D135" t="s">
        <v>102</v>
      </c>
      <c r="E135">
        <v>1002003</v>
      </c>
      <c r="F135" s="11" t="s">
        <v>85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5">
        <f t="shared" si="27"/>
        <v>0</v>
      </c>
    </row>
    <row r="136" spans="2:19" x14ac:dyDescent="0.35">
      <c r="B136">
        <v>160</v>
      </c>
      <c r="C136" t="s">
        <v>153</v>
      </c>
      <c r="D136" t="s">
        <v>102</v>
      </c>
      <c r="E136">
        <v>1002004</v>
      </c>
      <c r="F136" s="11" t="s">
        <v>86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5">
        <f t="shared" si="27"/>
        <v>0</v>
      </c>
    </row>
    <row r="137" spans="2:19" x14ac:dyDescent="0.35">
      <c r="B137">
        <v>160</v>
      </c>
      <c r="C137" t="s">
        <v>153</v>
      </c>
      <c r="D137" t="s">
        <v>102</v>
      </c>
      <c r="E137">
        <v>1002005</v>
      </c>
      <c r="F137" s="11" t="s">
        <v>87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5">
        <f t="shared" si="27"/>
        <v>0</v>
      </c>
    </row>
    <row r="138" spans="2:19" x14ac:dyDescent="0.35">
      <c r="B138">
        <v>160</v>
      </c>
      <c r="C138" t="s">
        <v>153</v>
      </c>
      <c r="D138" t="s">
        <v>102</v>
      </c>
      <c r="E138">
        <v>1002006</v>
      </c>
      <c r="F138" s="11" t="s">
        <v>88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5">
        <f t="shared" si="27"/>
        <v>0</v>
      </c>
    </row>
    <row r="139" spans="2:19" x14ac:dyDescent="0.35">
      <c r="B139">
        <v>160</v>
      </c>
      <c r="C139" t="s">
        <v>153</v>
      </c>
      <c r="D139" t="s">
        <v>100</v>
      </c>
      <c r="E139">
        <v>1003001</v>
      </c>
      <c r="F139" t="s">
        <v>82</v>
      </c>
      <c r="G139" s="7">
        <f>'REC HUMANOS'!F29*30</f>
        <v>21000</v>
      </c>
      <c r="H139" s="7">
        <f>G139</f>
        <v>21000</v>
      </c>
      <c r="I139" s="7">
        <f t="shared" ref="I139:R139" si="28">H139</f>
        <v>21000</v>
      </c>
      <c r="J139" s="7">
        <f t="shared" si="28"/>
        <v>21000</v>
      </c>
      <c r="K139" s="7">
        <f t="shared" si="28"/>
        <v>21000</v>
      </c>
      <c r="L139" s="7">
        <f t="shared" si="28"/>
        <v>21000</v>
      </c>
      <c r="M139" s="7">
        <f t="shared" si="28"/>
        <v>21000</v>
      </c>
      <c r="N139" s="7">
        <f t="shared" si="28"/>
        <v>21000</v>
      </c>
      <c r="O139" s="7">
        <f t="shared" si="28"/>
        <v>21000</v>
      </c>
      <c r="P139" s="7">
        <f t="shared" si="28"/>
        <v>21000</v>
      </c>
      <c r="Q139" s="7">
        <f t="shared" si="28"/>
        <v>21000</v>
      </c>
      <c r="R139" s="7">
        <f t="shared" si="28"/>
        <v>21000</v>
      </c>
      <c r="S139" s="5">
        <f t="shared" si="27"/>
        <v>252000</v>
      </c>
    </row>
    <row r="140" spans="2:19" x14ac:dyDescent="0.35">
      <c r="B140">
        <v>160</v>
      </c>
      <c r="C140" t="s">
        <v>153</v>
      </c>
      <c r="D140" t="s">
        <v>100</v>
      </c>
      <c r="E140">
        <v>1003002</v>
      </c>
      <c r="F140" t="s">
        <v>74</v>
      </c>
      <c r="S140" s="5">
        <f t="shared" si="27"/>
        <v>0</v>
      </c>
    </row>
    <row r="141" spans="2:19" x14ac:dyDescent="0.35">
      <c r="B141">
        <v>160</v>
      </c>
      <c r="C141" t="s">
        <v>153</v>
      </c>
      <c r="D141" t="s">
        <v>100</v>
      </c>
      <c r="E141">
        <v>1003003</v>
      </c>
      <c r="F141" t="s">
        <v>77</v>
      </c>
      <c r="S141" s="5">
        <f t="shared" si="27"/>
        <v>0</v>
      </c>
    </row>
    <row r="142" spans="2:19" x14ac:dyDescent="0.35">
      <c r="B142">
        <v>160</v>
      </c>
      <c r="C142" t="s">
        <v>153</v>
      </c>
      <c r="D142" t="s">
        <v>100</v>
      </c>
      <c r="E142">
        <v>1003004</v>
      </c>
      <c r="F142" t="s">
        <v>75</v>
      </c>
      <c r="G142" s="5">
        <f>(((G139/G2)*'REC HUMANOS'!$K$4)/12)*'REC HUMANOS'!$K$6</f>
        <v>211.69354838709674</v>
      </c>
      <c r="H142" s="5">
        <f>(((H139/H2)*'REC HUMANOS'!$K$4)/12)*'REC HUMANOS'!$K$6</f>
        <v>234.375</v>
      </c>
      <c r="I142" s="5">
        <f>(((I139/I2)*'REC HUMANOS'!$K$4)/12)*'REC HUMANOS'!$K$6</f>
        <v>211.69354838709674</v>
      </c>
      <c r="J142" s="5">
        <f>(((J139/J2)*'REC HUMANOS'!$K$4)/12)*'REC HUMANOS'!$K$6</f>
        <v>218.75</v>
      </c>
      <c r="K142" s="5">
        <f>(((K139/K2)*'REC HUMANOS'!$K$4)/12)*'REC HUMANOS'!$K$6</f>
        <v>211.69354838709674</v>
      </c>
      <c r="L142" s="5">
        <f>(((L139/L2)*'REC HUMANOS'!$K$4)/12)*'REC HUMANOS'!$K$6</f>
        <v>218.75</v>
      </c>
      <c r="M142" s="5">
        <f>(((M139/M2)*'REC HUMANOS'!$K$4)/12)*'REC HUMANOS'!$K$6</f>
        <v>211.69354838709674</v>
      </c>
      <c r="N142" s="5">
        <f>(((N139/N2)*'REC HUMANOS'!$K$4)/12)*'REC HUMANOS'!$K$6</f>
        <v>211.69354838709674</v>
      </c>
      <c r="O142" s="5">
        <f>(((O139/O2)*'REC HUMANOS'!$K$4)/12)*'REC HUMANOS'!$K$6</f>
        <v>218.75</v>
      </c>
      <c r="P142" s="5">
        <f>(((P139/P2)*'REC HUMANOS'!$K$4)/12)*'REC HUMANOS'!$K$6</f>
        <v>211.69354838709674</v>
      </c>
      <c r="Q142" s="5">
        <f>(((Q139/Q2)*'REC HUMANOS'!$K$4)/12)*'REC HUMANOS'!$K$6</f>
        <v>218.75</v>
      </c>
      <c r="R142" s="5">
        <f>(((R139/R2)*'REC HUMANOS'!$K$4)/12)*'REC HUMANOS'!$K$6</f>
        <v>211.69354838709674</v>
      </c>
      <c r="S142" s="5">
        <f t="shared" si="27"/>
        <v>2591.2298387096771</v>
      </c>
    </row>
    <row r="143" spans="2:19" x14ac:dyDescent="0.35">
      <c r="B143">
        <v>160</v>
      </c>
      <c r="C143" t="s">
        <v>153</v>
      </c>
      <c r="D143" t="s">
        <v>100</v>
      </c>
      <c r="E143">
        <v>1003005</v>
      </c>
      <c r="F143" t="s">
        <v>76</v>
      </c>
      <c r="G143" s="5">
        <f>(((G139/G2)*'REC HUMANOS'!$K$4/12))</f>
        <v>846.77419354838696</v>
      </c>
      <c r="H143" s="5">
        <f>(((H139/H2)*'REC HUMANOS'!$K$4/12))</f>
        <v>937.5</v>
      </c>
      <c r="I143" s="5">
        <f>(((I139/I2)*'REC HUMANOS'!$K$4/12))</f>
        <v>846.77419354838696</v>
      </c>
      <c r="J143" s="5">
        <f>(((J139/J2)*'REC HUMANOS'!$K$4/12))</f>
        <v>875</v>
      </c>
      <c r="K143" s="5">
        <f>(((K139/K2)*'REC HUMANOS'!$K$4/12))</f>
        <v>846.77419354838696</v>
      </c>
      <c r="L143" s="5">
        <f>(((L139/L2)*'REC HUMANOS'!$K$4/12))</f>
        <v>875</v>
      </c>
      <c r="M143" s="5">
        <f>(((M139/M2)*'REC HUMANOS'!$K$4/12))</f>
        <v>846.77419354838696</v>
      </c>
      <c r="N143" s="5">
        <f>(((N139/N2)*'REC HUMANOS'!$K$4/12))</f>
        <v>846.77419354838696</v>
      </c>
      <c r="O143" s="5">
        <f>(((O139/O2)*'REC HUMANOS'!$K$4/12))</f>
        <v>875</v>
      </c>
      <c r="P143" s="5">
        <f>(((P139/P2)*'REC HUMANOS'!$K$4/12))</f>
        <v>846.77419354838696</v>
      </c>
      <c r="Q143" s="5">
        <f>(((Q139/Q2)*'REC HUMANOS'!$K$4/12))</f>
        <v>875</v>
      </c>
      <c r="R143" s="5">
        <f>(((R139/R2)*'REC HUMANOS'!$K$4/12))</f>
        <v>846.77419354838696</v>
      </c>
      <c r="S143" s="5">
        <f t="shared" si="27"/>
        <v>10364.919354838708</v>
      </c>
    </row>
    <row r="144" spans="2:19" x14ac:dyDescent="0.35">
      <c r="B144">
        <v>160</v>
      </c>
      <c r="C144" t="s">
        <v>153</v>
      </c>
      <c r="D144" t="s">
        <v>100</v>
      </c>
      <c r="E144">
        <v>1003006</v>
      </c>
      <c r="F144" t="s">
        <v>78</v>
      </c>
      <c r="G144" s="2">
        <f>(G139*'REC HUMANOS'!$G$2)*'REC HUMANOS'!$K$9</f>
        <v>4407.0600000000004</v>
      </c>
      <c r="H144" s="2">
        <f>(H139*'REC HUMANOS'!$G$2)*'REC HUMANOS'!$K$9</f>
        <v>4407.0600000000004</v>
      </c>
      <c r="I144" s="2">
        <f>(I139*'REC HUMANOS'!$G$2)*'REC HUMANOS'!$K$9</f>
        <v>4407.0600000000004</v>
      </c>
      <c r="J144" s="2">
        <f>(J139*'REC HUMANOS'!$G$2)*'REC HUMANOS'!$K$9</f>
        <v>4407.0600000000004</v>
      </c>
      <c r="K144" s="2">
        <f>(K139*'REC HUMANOS'!$G$2)*'REC HUMANOS'!$K$9</f>
        <v>4407.0600000000004</v>
      </c>
      <c r="L144" s="2">
        <f>(L139*'REC HUMANOS'!$G$2)*'REC HUMANOS'!$K$9</f>
        <v>4407.0600000000004</v>
      </c>
      <c r="M144" s="2">
        <f>(M139*'REC HUMANOS'!$G$2)*'REC HUMANOS'!$K$9</f>
        <v>4407.0600000000004</v>
      </c>
      <c r="N144" s="2">
        <f>(N139*'REC HUMANOS'!$G$2)*'REC HUMANOS'!$K$9</f>
        <v>4407.0600000000004</v>
      </c>
      <c r="O144" s="2">
        <f>(O139*'REC HUMANOS'!$G$2)*'REC HUMANOS'!$K$9</f>
        <v>4407.0600000000004</v>
      </c>
      <c r="P144" s="2">
        <f>(P139*'REC HUMANOS'!$G$2)*'REC HUMANOS'!$K$9</f>
        <v>4407.0600000000004</v>
      </c>
      <c r="Q144" s="2">
        <f>(Q139*'REC HUMANOS'!$G$2)*'REC HUMANOS'!$K$9</f>
        <v>4407.0600000000004</v>
      </c>
      <c r="R144" s="2">
        <f>(R139*'REC HUMANOS'!$G$2)*'REC HUMANOS'!$K$9</f>
        <v>4407.0600000000004</v>
      </c>
      <c r="S144" s="5">
        <f t="shared" si="27"/>
        <v>52884.719999999994</v>
      </c>
    </row>
    <row r="145" spans="2:19" x14ac:dyDescent="0.35">
      <c r="B145">
        <v>160</v>
      </c>
      <c r="C145" t="s">
        <v>153</v>
      </c>
      <c r="D145" t="s">
        <v>100</v>
      </c>
      <c r="E145">
        <v>1003007</v>
      </c>
      <c r="F145" t="s">
        <v>79</v>
      </c>
      <c r="G145" s="2">
        <f>(G139*'REC HUMANOS'!$G$2)*'REC HUMANOS'!$K$10</f>
        <v>991.58849999999995</v>
      </c>
      <c r="H145" s="2">
        <f>(H139*'REC HUMANOS'!$G$2)*'REC HUMANOS'!$K$10</f>
        <v>991.58849999999995</v>
      </c>
      <c r="I145" s="2">
        <f>(I139*'REC HUMANOS'!$G$2)*'REC HUMANOS'!$K$10</f>
        <v>991.58849999999995</v>
      </c>
      <c r="J145" s="2">
        <f>(J139*'REC HUMANOS'!$G$2)*'REC HUMANOS'!$K$10</f>
        <v>991.58849999999995</v>
      </c>
      <c r="K145" s="2">
        <f>(K139*'REC HUMANOS'!$G$2)*'REC HUMANOS'!$K$10</f>
        <v>991.58849999999995</v>
      </c>
      <c r="L145" s="2">
        <f>(L139*'REC HUMANOS'!$G$2)*'REC HUMANOS'!$K$10</f>
        <v>991.58849999999995</v>
      </c>
      <c r="M145" s="2">
        <f>(M139*'REC HUMANOS'!$G$2)*'REC HUMANOS'!$K$10</f>
        <v>991.58849999999995</v>
      </c>
      <c r="N145" s="2">
        <f>(N139*'REC HUMANOS'!$G$2)*'REC HUMANOS'!$K$10</f>
        <v>991.58849999999995</v>
      </c>
      <c r="O145" s="2">
        <f>(O139*'REC HUMANOS'!$G$2)*'REC HUMANOS'!$K$10</f>
        <v>991.58849999999995</v>
      </c>
      <c r="P145" s="2">
        <f>(P139*'REC HUMANOS'!$G$2)*'REC HUMANOS'!$K$10</f>
        <v>991.58849999999995</v>
      </c>
      <c r="Q145" s="2">
        <f>(Q139*'REC HUMANOS'!$G$2)*'REC HUMANOS'!$K$10</f>
        <v>991.58849999999995</v>
      </c>
      <c r="R145" s="2">
        <f>(R139*'REC HUMANOS'!$G$2)*'REC HUMANOS'!$K$10</f>
        <v>991.58849999999995</v>
      </c>
      <c r="S145" s="5">
        <f t="shared" si="27"/>
        <v>11899.062</v>
      </c>
    </row>
    <row r="146" spans="2:19" x14ac:dyDescent="0.35">
      <c r="B146">
        <v>160</v>
      </c>
      <c r="C146" t="s">
        <v>153</v>
      </c>
      <c r="D146" t="s">
        <v>100</v>
      </c>
      <c r="E146">
        <v>1003008</v>
      </c>
      <c r="F146" t="s">
        <v>81</v>
      </c>
      <c r="G146" s="2">
        <f>(G139*'REC HUMANOS'!$G$2)*'REC HUMANOS'!$K$11</f>
        <v>1101.7650000000001</v>
      </c>
      <c r="H146" s="2">
        <f>(H139*'REC HUMANOS'!$G$2)*'REC HUMANOS'!$K$11</f>
        <v>1101.7650000000001</v>
      </c>
      <c r="I146" s="2">
        <f>(I139*'REC HUMANOS'!$G$2)*'REC HUMANOS'!$K$11</f>
        <v>1101.7650000000001</v>
      </c>
      <c r="J146" s="2">
        <f>(J139*'REC HUMANOS'!$G$2)*'REC HUMANOS'!$K$11</f>
        <v>1101.7650000000001</v>
      </c>
      <c r="K146" s="2">
        <f>(K139*'REC HUMANOS'!$G$2)*'REC HUMANOS'!$K$11</f>
        <v>1101.7650000000001</v>
      </c>
      <c r="L146" s="2">
        <f>(L139*'REC HUMANOS'!$G$2)*'REC HUMANOS'!$K$11</f>
        <v>1101.7650000000001</v>
      </c>
      <c r="M146" s="2">
        <f>(M139*'REC HUMANOS'!$G$2)*'REC HUMANOS'!$K$11</f>
        <v>1101.7650000000001</v>
      </c>
      <c r="N146" s="2">
        <f>(N139*'REC HUMANOS'!$G$2)*'REC HUMANOS'!$K$11</f>
        <v>1101.7650000000001</v>
      </c>
      <c r="O146" s="2">
        <f>(O139*'REC HUMANOS'!$G$2)*'REC HUMANOS'!$K$11</f>
        <v>1101.7650000000001</v>
      </c>
      <c r="P146" s="2">
        <f>(P139*'REC HUMANOS'!$G$2)*'REC HUMANOS'!$K$11</f>
        <v>1101.7650000000001</v>
      </c>
      <c r="Q146" s="2">
        <f>(Q139*'REC HUMANOS'!$G$2)*'REC HUMANOS'!$K$11</f>
        <v>1101.7650000000001</v>
      </c>
      <c r="R146" s="2">
        <f>(R139*'REC HUMANOS'!$G$2)*'REC HUMANOS'!$K$11</f>
        <v>1101.7650000000001</v>
      </c>
      <c r="S146" s="5">
        <f t="shared" si="27"/>
        <v>13221.179999999998</v>
      </c>
    </row>
    <row r="147" spans="2:19" x14ac:dyDescent="0.35">
      <c r="B147">
        <v>160</v>
      </c>
      <c r="C147" t="s">
        <v>153</v>
      </c>
      <c r="D147" t="s">
        <v>100</v>
      </c>
      <c r="E147">
        <v>1003009</v>
      </c>
      <c r="F147" t="s">
        <v>80</v>
      </c>
      <c r="G147" s="2">
        <f>(G139*'REC HUMANOS'!$G$2)*'REC HUMANOS'!$K$14</f>
        <v>661.05899999999997</v>
      </c>
      <c r="H147" s="2">
        <f>(H139*'REC HUMANOS'!$G$2)*'REC HUMANOS'!$K$14</f>
        <v>661.05899999999997</v>
      </c>
      <c r="I147" s="2">
        <f>(I139*'REC HUMANOS'!$G$2)*'REC HUMANOS'!$K$14</f>
        <v>661.05899999999997</v>
      </c>
      <c r="J147" s="2">
        <f>(J139*'REC HUMANOS'!$G$2)*'REC HUMANOS'!$K$14</f>
        <v>661.05899999999997</v>
      </c>
      <c r="K147" s="2">
        <f>(K139*'REC HUMANOS'!$G$2)*'REC HUMANOS'!$K$14</f>
        <v>661.05899999999997</v>
      </c>
      <c r="L147" s="2">
        <f>(L139*'REC HUMANOS'!$G$2)*'REC HUMANOS'!$K$14</f>
        <v>661.05899999999997</v>
      </c>
      <c r="M147" s="2">
        <f>(M139*'REC HUMANOS'!$G$2)*'REC HUMANOS'!$K$14</f>
        <v>661.05899999999997</v>
      </c>
      <c r="N147" s="2">
        <f>(N139*'REC HUMANOS'!$G$2)*'REC HUMANOS'!$K$14</f>
        <v>661.05899999999997</v>
      </c>
      <c r="O147" s="2">
        <f>(O139*'REC HUMANOS'!$G$2)*'REC HUMANOS'!$K$14</f>
        <v>661.05899999999997</v>
      </c>
      <c r="P147" s="2">
        <f>(P139*'REC HUMANOS'!$G$2)*'REC HUMANOS'!$K$14</f>
        <v>661.05899999999997</v>
      </c>
      <c r="Q147" s="2">
        <f>(Q139*'REC HUMANOS'!$G$2)*'REC HUMANOS'!$K$14</f>
        <v>661.05899999999997</v>
      </c>
      <c r="R147" s="2">
        <f>(R139*'REC HUMANOS'!$G$2)*'REC HUMANOS'!$K$14</f>
        <v>661.05899999999997</v>
      </c>
      <c r="S147" s="5">
        <f t="shared" si="27"/>
        <v>7932.7080000000014</v>
      </c>
    </row>
    <row r="148" spans="2:19" x14ac:dyDescent="0.35">
      <c r="B148">
        <v>160</v>
      </c>
      <c r="C148" t="s">
        <v>153</v>
      </c>
      <c r="D148" t="s">
        <v>100</v>
      </c>
      <c r="E148">
        <v>1003101</v>
      </c>
      <c r="F148" t="s">
        <v>89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f t="shared" si="27"/>
        <v>0</v>
      </c>
    </row>
    <row r="149" spans="2:19" x14ac:dyDescent="0.35">
      <c r="B149">
        <v>160</v>
      </c>
      <c r="C149" t="s">
        <v>153</v>
      </c>
      <c r="D149" t="s">
        <v>100</v>
      </c>
      <c r="E149">
        <v>1003102</v>
      </c>
      <c r="F149" t="s">
        <v>90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f t="shared" si="27"/>
        <v>0</v>
      </c>
    </row>
    <row r="150" spans="2:19" x14ac:dyDescent="0.35">
      <c r="B150">
        <v>160</v>
      </c>
      <c r="C150" t="s">
        <v>153</v>
      </c>
      <c r="D150" t="s">
        <v>100</v>
      </c>
      <c r="E150">
        <v>1003103</v>
      </c>
      <c r="F150" t="s">
        <v>91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f t="shared" si="27"/>
        <v>0</v>
      </c>
    </row>
    <row r="151" spans="2:19" x14ac:dyDescent="0.35">
      <c r="B151">
        <v>160</v>
      </c>
      <c r="C151" t="s">
        <v>153</v>
      </c>
      <c r="D151" t="s">
        <v>100</v>
      </c>
      <c r="E151">
        <v>1003104</v>
      </c>
      <c r="F151" t="s">
        <v>92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f t="shared" si="27"/>
        <v>0</v>
      </c>
    </row>
    <row r="152" spans="2:19" x14ac:dyDescent="0.35">
      <c r="C152" t="s">
        <v>96</v>
      </c>
      <c r="G152" s="5">
        <f>SUM(G124:G151)</f>
        <v>29419.940241935488</v>
      </c>
      <c r="H152" s="5">
        <f t="shared" ref="H152" si="29">SUM(H124:H151)</f>
        <v>29533.347500000003</v>
      </c>
      <c r="I152" s="5">
        <f t="shared" ref="I152" si="30">SUM(I124:I151)</f>
        <v>29419.940241935488</v>
      </c>
      <c r="J152" s="5">
        <f t="shared" ref="J152" si="31">SUM(J124:J151)</f>
        <v>29455.222500000003</v>
      </c>
      <c r="K152" s="5">
        <f t="shared" ref="K152" si="32">SUM(K124:K151)</f>
        <v>29419.940241935488</v>
      </c>
      <c r="L152" s="5">
        <f t="shared" ref="L152" si="33">SUM(L124:L151)</f>
        <v>29455.222500000003</v>
      </c>
      <c r="M152" s="5">
        <f t="shared" ref="M152" si="34">SUM(M124:M151)</f>
        <v>29419.940241935488</v>
      </c>
      <c r="N152" s="5">
        <f t="shared" ref="N152" si="35">SUM(N124:N151)</f>
        <v>29419.940241935488</v>
      </c>
      <c r="O152" s="5">
        <f t="shared" ref="O152" si="36">SUM(O124:O151)</f>
        <v>29455.222500000003</v>
      </c>
      <c r="P152" s="5">
        <f t="shared" ref="P152" si="37">SUM(P124:P151)</f>
        <v>29419.940241935488</v>
      </c>
      <c r="Q152" s="5">
        <f t="shared" ref="Q152" si="38">SUM(Q124:Q151)</f>
        <v>29455.222500000003</v>
      </c>
      <c r="R152" s="5">
        <f t="shared" ref="R152" si="39">SUM(R124:R151)</f>
        <v>29419.940241935488</v>
      </c>
      <c r="S152" s="5">
        <f t="shared" ref="S152" si="40">SUM(S124:S151)</f>
        <v>353293.81919354829</v>
      </c>
    </row>
    <row r="154" spans="2:19" x14ac:dyDescent="0.35">
      <c r="B154">
        <v>170</v>
      </c>
      <c r="C154" t="s">
        <v>151</v>
      </c>
      <c r="D154" t="s">
        <v>101</v>
      </c>
      <c r="E154">
        <v>1001001</v>
      </c>
      <c r="F154" t="s">
        <v>73</v>
      </c>
      <c r="G154" s="5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5">
        <f t="shared" ref="S154:S181" si="41">SUM(G154:R154)</f>
        <v>0</v>
      </c>
    </row>
    <row r="155" spans="2:19" x14ac:dyDescent="0.35">
      <c r="B155">
        <v>170</v>
      </c>
      <c r="C155" t="s">
        <v>151</v>
      </c>
      <c r="D155" t="s">
        <v>101</v>
      </c>
      <c r="E155">
        <v>1001002</v>
      </c>
      <c r="F155" t="s">
        <v>74</v>
      </c>
      <c r="S155" s="5">
        <f t="shared" si="41"/>
        <v>0</v>
      </c>
    </row>
    <row r="156" spans="2:19" x14ac:dyDescent="0.35">
      <c r="B156">
        <v>170</v>
      </c>
      <c r="C156" t="s">
        <v>151</v>
      </c>
      <c r="D156" t="s">
        <v>101</v>
      </c>
      <c r="E156">
        <v>1001003</v>
      </c>
      <c r="F156" t="s">
        <v>77</v>
      </c>
      <c r="S156" s="5">
        <f t="shared" si="41"/>
        <v>0</v>
      </c>
    </row>
    <row r="157" spans="2:19" x14ac:dyDescent="0.35">
      <c r="B157">
        <v>170</v>
      </c>
      <c r="C157" t="s">
        <v>151</v>
      </c>
      <c r="D157" t="s">
        <v>101</v>
      </c>
      <c r="E157">
        <v>1001004</v>
      </c>
      <c r="F157" t="s">
        <v>75</v>
      </c>
      <c r="G157" s="5">
        <f>(((G154/G92)*'REC HUMANOS'!$K$4)/12)*'REC HUMANOS'!$K$6</f>
        <v>0</v>
      </c>
      <c r="H157" s="5">
        <f>(((H154/H92)*'REC HUMANOS'!$K$4)/12)*'REC HUMANOS'!$K$6</f>
        <v>0</v>
      </c>
      <c r="I157" s="5">
        <f>(((I154/I92)*'REC HUMANOS'!$K$4)/12)*'REC HUMANOS'!$K$6</f>
        <v>0</v>
      </c>
      <c r="J157" s="5">
        <f>(((J154/J92)*'REC HUMANOS'!$K$4)/12)*'REC HUMANOS'!$K$6</f>
        <v>0</v>
      </c>
      <c r="K157" s="5">
        <f>(((K154/K92)*'REC HUMANOS'!$K$4)/12)*'REC HUMANOS'!$K$6</f>
        <v>0</v>
      </c>
      <c r="L157" s="5">
        <f>(((L154/L92)*'REC HUMANOS'!$K$4)/12)*'REC HUMANOS'!$K$6</f>
        <v>0</v>
      </c>
      <c r="M157" s="5">
        <f>(((M154/M92)*'REC HUMANOS'!$K$4)/12)*'REC HUMANOS'!$K$6</f>
        <v>0</v>
      </c>
      <c r="N157" s="5">
        <f>(((N154/N92)*'REC HUMANOS'!$K$4)/12)*'REC HUMANOS'!$K$6</f>
        <v>0</v>
      </c>
      <c r="O157" s="5">
        <f>(((O154/O92)*'REC HUMANOS'!$K$4)/12)*'REC HUMANOS'!$K$6</f>
        <v>0</v>
      </c>
      <c r="P157" s="5">
        <f>(((P154/P92)*'REC HUMANOS'!$K$4)/12)*'REC HUMANOS'!$K$6</f>
        <v>0</v>
      </c>
      <c r="Q157" s="5">
        <f>(((Q154/Q92)*'REC HUMANOS'!$K$4)/12)*'REC HUMANOS'!$K$6</f>
        <v>0</v>
      </c>
      <c r="R157" s="5">
        <f>(((R154/R92)*'REC HUMANOS'!$K$4)/12)*'REC HUMANOS'!$K$6</f>
        <v>0</v>
      </c>
      <c r="S157" s="5">
        <f t="shared" si="41"/>
        <v>0</v>
      </c>
    </row>
    <row r="158" spans="2:19" x14ac:dyDescent="0.35">
      <c r="B158">
        <v>170</v>
      </c>
      <c r="C158" t="s">
        <v>151</v>
      </c>
      <c r="D158" t="s">
        <v>101</v>
      </c>
      <c r="E158">
        <v>1001005</v>
      </c>
      <c r="F158" t="s">
        <v>76</v>
      </c>
      <c r="G158" s="5">
        <f>(((G154/G92)*'REC HUMANOS'!$K$4)/12)</f>
        <v>0</v>
      </c>
      <c r="H158" s="5">
        <f>(((H154/H92)*'REC HUMANOS'!$K$4)/12)</f>
        <v>0</v>
      </c>
      <c r="I158" s="5">
        <f>(((I154/I92)*'REC HUMANOS'!$K$4)/12)</f>
        <v>0</v>
      </c>
      <c r="J158" s="5">
        <f>(((J154/J92)*'REC HUMANOS'!$K$4)/12)</f>
        <v>0</v>
      </c>
      <c r="K158" s="5">
        <f>(((K154/K92)*'REC HUMANOS'!$K$4)/12)</f>
        <v>0</v>
      </c>
      <c r="L158" s="5">
        <f>(((L154/L92)*'REC HUMANOS'!$K$4)/12)</f>
        <v>0</v>
      </c>
      <c r="M158" s="5">
        <f>(((M154/M92)*'REC HUMANOS'!$K$4)/12)</f>
        <v>0</v>
      </c>
      <c r="N158" s="5">
        <f>(((N154/N92)*'REC HUMANOS'!$K$4)/12)</f>
        <v>0</v>
      </c>
      <c r="O158" s="5">
        <f>(((O154/O92)*'REC HUMANOS'!$K$4)/12)</f>
        <v>0</v>
      </c>
      <c r="P158" s="5">
        <f>(((P154/P92)*'REC HUMANOS'!$K$4)/12)</f>
        <v>0</v>
      </c>
      <c r="Q158" s="5">
        <f>(((Q154/Q92)*'REC HUMANOS'!$K$4)/12)</f>
        <v>0</v>
      </c>
      <c r="R158" s="5">
        <f>(((R154/R92)*'REC HUMANOS'!$K$4)/12)</f>
        <v>0</v>
      </c>
      <c r="S158" s="5">
        <f t="shared" si="41"/>
        <v>0</v>
      </c>
    </row>
    <row r="159" spans="2:19" x14ac:dyDescent="0.35">
      <c r="B159">
        <v>170</v>
      </c>
      <c r="C159" t="s">
        <v>151</v>
      </c>
      <c r="D159" t="s">
        <v>101</v>
      </c>
      <c r="E159">
        <v>1001006</v>
      </c>
      <c r="F159" t="s">
        <v>78</v>
      </c>
      <c r="G159" s="2">
        <f>(G154*'REC HUMANOS'!$G$2)*'REC HUMANOS'!$K$9</f>
        <v>0</v>
      </c>
      <c r="H159" s="2">
        <f>(H154*'REC HUMANOS'!$G$2)*'REC HUMANOS'!$K$9</f>
        <v>0</v>
      </c>
      <c r="I159" s="2">
        <f>(I154*'REC HUMANOS'!$G$2)*'REC HUMANOS'!$K$9</f>
        <v>0</v>
      </c>
      <c r="J159" s="2">
        <f>(J154*'REC HUMANOS'!$G$2)*'REC HUMANOS'!$K$9</f>
        <v>0</v>
      </c>
      <c r="K159" s="2">
        <f>(K154*'REC HUMANOS'!$G$2)*'REC HUMANOS'!$K$9</f>
        <v>0</v>
      </c>
      <c r="L159" s="2">
        <f>(L154*'REC HUMANOS'!$G$2)*'REC HUMANOS'!$K$9</f>
        <v>0</v>
      </c>
      <c r="M159" s="2">
        <f>(M154*'REC HUMANOS'!$G$2)*'REC HUMANOS'!$K$9</f>
        <v>0</v>
      </c>
      <c r="N159" s="2">
        <f>(N154*'REC HUMANOS'!$G$2)*'REC HUMANOS'!$K$9</f>
        <v>0</v>
      </c>
      <c r="O159" s="2">
        <f>(O154*'REC HUMANOS'!$G$2)*'REC HUMANOS'!$K$9</f>
        <v>0</v>
      </c>
      <c r="P159" s="2">
        <f>(P154*'REC HUMANOS'!$G$2)*'REC HUMANOS'!$K$9</f>
        <v>0</v>
      </c>
      <c r="Q159" s="2">
        <f>(Q154*'REC HUMANOS'!$G$2)*'REC HUMANOS'!$K$9</f>
        <v>0</v>
      </c>
      <c r="R159" s="2">
        <f>(R154*'REC HUMANOS'!$G$2)*'REC HUMANOS'!$K$9</f>
        <v>0</v>
      </c>
      <c r="S159" s="5">
        <f t="shared" si="41"/>
        <v>0</v>
      </c>
    </row>
    <row r="160" spans="2:19" x14ac:dyDescent="0.35">
      <c r="B160">
        <v>170</v>
      </c>
      <c r="C160" t="s">
        <v>151</v>
      </c>
      <c r="D160" t="s">
        <v>101</v>
      </c>
      <c r="E160">
        <v>1001007</v>
      </c>
      <c r="F160" t="s">
        <v>79</v>
      </c>
      <c r="G160" s="2">
        <f>(G154*'REC HUMANOS'!$G$2)*'REC HUMANOS'!$K$10</f>
        <v>0</v>
      </c>
      <c r="H160" s="2">
        <f>(H154*'REC HUMANOS'!$G$2)*'REC HUMANOS'!$K$10</f>
        <v>0</v>
      </c>
      <c r="I160" s="2">
        <f>(I154*'REC HUMANOS'!$G$2)*'REC HUMANOS'!$K$10</f>
        <v>0</v>
      </c>
      <c r="J160" s="2">
        <f>(J154*'REC HUMANOS'!$G$2)*'REC HUMANOS'!$K$10</f>
        <v>0</v>
      </c>
      <c r="K160" s="2">
        <f>(K154*'REC HUMANOS'!$G$2)*'REC HUMANOS'!$K$10</f>
        <v>0</v>
      </c>
      <c r="L160" s="2">
        <f>(L154*'REC HUMANOS'!$G$2)*'REC HUMANOS'!$K$10</f>
        <v>0</v>
      </c>
      <c r="M160" s="2">
        <f>(M154*'REC HUMANOS'!$G$2)*'REC HUMANOS'!$K$10</f>
        <v>0</v>
      </c>
      <c r="N160" s="2">
        <f>(N154*'REC HUMANOS'!$G$2)*'REC HUMANOS'!$K$10</f>
        <v>0</v>
      </c>
      <c r="O160" s="2">
        <f>(O154*'REC HUMANOS'!$G$2)*'REC HUMANOS'!$K$10</f>
        <v>0</v>
      </c>
      <c r="P160" s="2">
        <f>(P154*'REC HUMANOS'!$G$2)*'REC HUMANOS'!$K$10</f>
        <v>0</v>
      </c>
      <c r="Q160" s="2">
        <f>(Q154*'REC HUMANOS'!$G$2)*'REC HUMANOS'!$K$10</f>
        <v>0</v>
      </c>
      <c r="R160" s="2">
        <f>(R154*'REC HUMANOS'!$G$2)*'REC HUMANOS'!$K$10</f>
        <v>0</v>
      </c>
      <c r="S160" s="5">
        <f t="shared" si="41"/>
        <v>0</v>
      </c>
    </row>
    <row r="161" spans="2:19" x14ac:dyDescent="0.35">
      <c r="B161">
        <v>170</v>
      </c>
      <c r="C161" t="s">
        <v>151</v>
      </c>
      <c r="D161" t="s">
        <v>101</v>
      </c>
      <c r="E161">
        <v>1001008</v>
      </c>
      <c r="F161" t="s">
        <v>81</v>
      </c>
      <c r="G161" s="2">
        <f>(G154*'REC HUMANOS'!$G$2)*'REC HUMANOS'!$K$11</f>
        <v>0</v>
      </c>
      <c r="H161" s="2">
        <f>(H154*'REC HUMANOS'!$G$2)*'REC HUMANOS'!$K$11</f>
        <v>0</v>
      </c>
      <c r="I161" s="2">
        <f>(I154*'REC HUMANOS'!$G$2)*'REC HUMANOS'!$K$11</f>
        <v>0</v>
      </c>
      <c r="J161" s="2">
        <f>(J154*'REC HUMANOS'!$G$2)*'REC HUMANOS'!$K$11</f>
        <v>0</v>
      </c>
      <c r="K161" s="2">
        <f>(K154*'REC HUMANOS'!$G$2)*'REC HUMANOS'!$K$11</f>
        <v>0</v>
      </c>
      <c r="L161" s="2">
        <f>(L154*'REC HUMANOS'!$G$2)*'REC HUMANOS'!$K$11</f>
        <v>0</v>
      </c>
      <c r="M161" s="2">
        <f>(M154*'REC HUMANOS'!$G$2)*'REC HUMANOS'!$K$11</f>
        <v>0</v>
      </c>
      <c r="N161" s="2">
        <f>(N154*'REC HUMANOS'!$G$2)*'REC HUMANOS'!$K$11</f>
        <v>0</v>
      </c>
      <c r="O161" s="2">
        <f>(O154*'REC HUMANOS'!$G$2)*'REC HUMANOS'!$K$11</f>
        <v>0</v>
      </c>
      <c r="P161" s="2">
        <f>(P154*'REC HUMANOS'!$G$2)*'REC HUMANOS'!$K$11</f>
        <v>0</v>
      </c>
      <c r="Q161" s="2">
        <f>(Q154*'REC HUMANOS'!$G$2)*'REC HUMANOS'!$K$11</f>
        <v>0</v>
      </c>
      <c r="R161" s="2">
        <f>(R154*'REC HUMANOS'!$G$2)*'REC HUMANOS'!$K$11</f>
        <v>0</v>
      </c>
      <c r="S161" s="5">
        <f t="shared" si="41"/>
        <v>0</v>
      </c>
    </row>
    <row r="162" spans="2:19" x14ac:dyDescent="0.35">
      <c r="B162">
        <v>170</v>
      </c>
      <c r="C162" t="s">
        <v>151</v>
      </c>
      <c r="D162" t="s">
        <v>101</v>
      </c>
      <c r="E162">
        <v>1001009</v>
      </c>
      <c r="F162" t="s">
        <v>80</v>
      </c>
      <c r="G162" s="2">
        <f>(G154*'REC HUMANOS'!$G$2)*'REC HUMANOS'!$K$14</f>
        <v>0</v>
      </c>
      <c r="H162" s="2">
        <f>(H154*'REC HUMANOS'!$G$2)*'REC HUMANOS'!$K$14</f>
        <v>0</v>
      </c>
      <c r="I162" s="2">
        <f>(I154*'REC HUMANOS'!$G$2)*'REC HUMANOS'!$K$14</f>
        <v>0</v>
      </c>
      <c r="J162" s="2">
        <f>(J154*'REC HUMANOS'!$G$2)*'REC HUMANOS'!$K$14</f>
        <v>0</v>
      </c>
      <c r="K162" s="2">
        <f>(K154*'REC HUMANOS'!$G$2)*'REC HUMANOS'!$K$14</f>
        <v>0</v>
      </c>
      <c r="L162" s="2">
        <f>(L154*'REC HUMANOS'!$G$2)*'REC HUMANOS'!$K$14</f>
        <v>0</v>
      </c>
      <c r="M162" s="2">
        <f>(M154*'REC HUMANOS'!$G$2)*'REC HUMANOS'!$K$14</f>
        <v>0</v>
      </c>
      <c r="N162" s="2">
        <f>(N154*'REC HUMANOS'!$G$2)*'REC HUMANOS'!$K$14</f>
        <v>0</v>
      </c>
      <c r="O162" s="2">
        <f>(O154*'REC HUMANOS'!$G$2)*'REC HUMANOS'!$K$14</f>
        <v>0</v>
      </c>
      <c r="P162" s="2">
        <f>(P154*'REC HUMANOS'!$G$2)*'REC HUMANOS'!$K$14</f>
        <v>0</v>
      </c>
      <c r="Q162" s="2">
        <f>(Q154*'REC HUMANOS'!$G$2)*'REC HUMANOS'!$K$14</f>
        <v>0</v>
      </c>
      <c r="R162" s="2">
        <f>(R154*'REC HUMANOS'!$G$2)*'REC HUMANOS'!$K$14</f>
        <v>0</v>
      </c>
      <c r="S162" s="5">
        <f t="shared" si="41"/>
        <v>0</v>
      </c>
    </row>
    <row r="163" spans="2:19" x14ac:dyDescent="0.35">
      <c r="B163">
        <v>170</v>
      </c>
      <c r="C163" t="s">
        <v>151</v>
      </c>
      <c r="D163" t="s">
        <v>102</v>
      </c>
      <c r="E163">
        <v>1002001</v>
      </c>
      <c r="F163" s="11" t="s">
        <v>83</v>
      </c>
      <c r="G163" s="2">
        <v>150</v>
      </c>
      <c r="H163" s="2">
        <v>150</v>
      </c>
      <c r="I163" s="2">
        <v>150</v>
      </c>
      <c r="J163" s="2">
        <v>150</v>
      </c>
      <c r="K163" s="2">
        <v>150</v>
      </c>
      <c r="L163" s="2">
        <v>150</v>
      </c>
      <c r="M163" s="2">
        <v>150</v>
      </c>
      <c r="N163" s="2">
        <v>150</v>
      </c>
      <c r="O163" s="2">
        <v>150</v>
      </c>
      <c r="P163" s="2">
        <v>150</v>
      </c>
      <c r="Q163" s="2">
        <v>150</v>
      </c>
      <c r="R163" s="2">
        <v>150</v>
      </c>
      <c r="S163" s="5">
        <f t="shared" si="41"/>
        <v>1800</v>
      </c>
    </row>
    <row r="164" spans="2:19" x14ac:dyDescent="0.35">
      <c r="B164">
        <v>170</v>
      </c>
      <c r="C164" t="s">
        <v>151</v>
      </c>
      <c r="D164" t="s">
        <v>102</v>
      </c>
      <c r="E164">
        <v>1002002</v>
      </c>
      <c r="F164" s="11" t="s">
        <v>84</v>
      </c>
      <c r="G164" s="2">
        <v>50</v>
      </c>
      <c r="H164" s="2">
        <v>50</v>
      </c>
      <c r="I164" s="2">
        <v>50</v>
      </c>
      <c r="J164" s="2">
        <v>50</v>
      </c>
      <c r="K164" s="2">
        <v>50</v>
      </c>
      <c r="L164" s="2">
        <v>50</v>
      </c>
      <c r="M164" s="2">
        <v>50</v>
      </c>
      <c r="N164" s="2">
        <v>50</v>
      </c>
      <c r="O164" s="2">
        <v>50</v>
      </c>
      <c r="P164" s="2">
        <v>50</v>
      </c>
      <c r="Q164" s="2">
        <v>50</v>
      </c>
      <c r="R164" s="2">
        <v>50</v>
      </c>
      <c r="S164" s="5">
        <f t="shared" si="41"/>
        <v>600</v>
      </c>
    </row>
    <row r="165" spans="2:19" x14ac:dyDescent="0.35">
      <c r="B165">
        <v>170</v>
      </c>
      <c r="C165" t="s">
        <v>151</v>
      </c>
      <c r="D165" t="s">
        <v>102</v>
      </c>
      <c r="E165">
        <v>1002003</v>
      </c>
      <c r="F165" s="11" t="s">
        <v>85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5">
        <f t="shared" si="41"/>
        <v>0</v>
      </c>
    </row>
    <row r="166" spans="2:19" x14ac:dyDescent="0.35">
      <c r="B166">
        <v>170</v>
      </c>
      <c r="C166" t="s">
        <v>151</v>
      </c>
      <c r="D166" t="s">
        <v>102</v>
      </c>
      <c r="E166">
        <v>1002004</v>
      </c>
      <c r="F166" s="11" t="s">
        <v>86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5">
        <f t="shared" si="41"/>
        <v>0</v>
      </c>
    </row>
    <row r="167" spans="2:19" x14ac:dyDescent="0.35">
      <c r="B167">
        <v>170</v>
      </c>
      <c r="C167" t="s">
        <v>151</v>
      </c>
      <c r="D167" t="s">
        <v>102</v>
      </c>
      <c r="E167">
        <v>1002005</v>
      </c>
      <c r="F167" s="11" t="s">
        <v>87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5">
        <f t="shared" si="41"/>
        <v>0</v>
      </c>
    </row>
    <row r="168" spans="2:19" x14ac:dyDescent="0.35">
      <c r="B168">
        <v>170</v>
      </c>
      <c r="C168" t="s">
        <v>151</v>
      </c>
      <c r="D168" t="s">
        <v>102</v>
      </c>
      <c r="E168">
        <v>1002006</v>
      </c>
      <c r="F168" s="11" t="s">
        <v>88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5">
        <f t="shared" si="41"/>
        <v>0</v>
      </c>
    </row>
    <row r="169" spans="2:19" x14ac:dyDescent="0.35">
      <c r="B169">
        <v>170</v>
      </c>
      <c r="C169" t="s">
        <v>151</v>
      </c>
      <c r="D169" t="s">
        <v>100</v>
      </c>
      <c r="E169">
        <v>1003001</v>
      </c>
      <c r="F169" t="s">
        <v>82</v>
      </c>
      <c r="G169" s="7">
        <f>'REC HUMANOS'!F30*30</f>
        <v>21000</v>
      </c>
      <c r="H169" s="7">
        <f>G169</f>
        <v>21000</v>
      </c>
      <c r="I169" s="7">
        <f t="shared" ref="I169:R169" si="42">H169</f>
        <v>21000</v>
      </c>
      <c r="J169" s="7">
        <f t="shared" si="42"/>
        <v>21000</v>
      </c>
      <c r="K169" s="7">
        <f t="shared" si="42"/>
        <v>21000</v>
      </c>
      <c r="L169" s="7">
        <f t="shared" si="42"/>
        <v>21000</v>
      </c>
      <c r="M169" s="7">
        <f t="shared" si="42"/>
        <v>21000</v>
      </c>
      <c r="N169" s="7">
        <f t="shared" si="42"/>
        <v>21000</v>
      </c>
      <c r="O169" s="7">
        <f t="shared" si="42"/>
        <v>21000</v>
      </c>
      <c r="P169" s="7">
        <f t="shared" si="42"/>
        <v>21000</v>
      </c>
      <c r="Q169" s="7">
        <f t="shared" si="42"/>
        <v>21000</v>
      </c>
      <c r="R169" s="7">
        <f t="shared" si="42"/>
        <v>21000</v>
      </c>
      <c r="S169" s="5">
        <f t="shared" si="41"/>
        <v>252000</v>
      </c>
    </row>
    <row r="170" spans="2:19" x14ac:dyDescent="0.35">
      <c r="B170">
        <v>170</v>
      </c>
      <c r="C170" t="s">
        <v>151</v>
      </c>
      <c r="D170" t="s">
        <v>100</v>
      </c>
      <c r="E170">
        <v>1003002</v>
      </c>
      <c r="F170" t="s">
        <v>74</v>
      </c>
      <c r="S170" s="5">
        <f t="shared" si="41"/>
        <v>0</v>
      </c>
    </row>
    <row r="171" spans="2:19" x14ac:dyDescent="0.35">
      <c r="B171">
        <v>170</v>
      </c>
      <c r="C171" t="s">
        <v>151</v>
      </c>
      <c r="D171" t="s">
        <v>100</v>
      </c>
      <c r="E171">
        <v>1003003</v>
      </c>
      <c r="F171" t="s">
        <v>77</v>
      </c>
      <c r="S171" s="5">
        <f t="shared" si="41"/>
        <v>0</v>
      </c>
    </row>
    <row r="172" spans="2:19" x14ac:dyDescent="0.35">
      <c r="B172">
        <v>170</v>
      </c>
      <c r="C172" t="s">
        <v>151</v>
      </c>
      <c r="D172" t="s">
        <v>100</v>
      </c>
      <c r="E172">
        <v>1003004</v>
      </c>
      <c r="F172" t="s">
        <v>75</v>
      </c>
      <c r="G172" s="5">
        <f>(((G169/G2)*'REC HUMANOS'!$K$4)/12)*'REC HUMANOS'!$K$6</f>
        <v>211.69354838709674</v>
      </c>
      <c r="H172" s="5">
        <f>(((H169/H2)*'REC HUMANOS'!$K$4)/12)*'REC HUMANOS'!$K$6</f>
        <v>234.375</v>
      </c>
      <c r="I172" s="5">
        <f>(((I169/I2)*'REC HUMANOS'!$K$4)/12)*'REC HUMANOS'!$K$6</f>
        <v>211.69354838709674</v>
      </c>
      <c r="J172" s="5">
        <f>(((J169/J2)*'REC HUMANOS'!$K$4)/12)*'REC HUMANOS'!$K$6</f>
        <v>218.75</v>
      </c>
      <c r="K172" s="5">
        <f>(((K169/K2)*'REC HUMANOS'!$K$4)/12)*'REC HUMANOS'!$K$6</f>
        <v>211.69354838709674</v>
      </c>
      <c r="L172" s="5">
        <f>(((L169/L2)*'REC HUMANOS'!$K$4)/12)*'REC HUMANOS'!$K$6</f>
        <v>218.75</v>
      </c>
      <c r="M172" s="5">
        <f>(((M169/M2)*'REC HUMANOS'!$K$4)/12)*'REC HUMANOS'!$K$6</f>
        <v>211.69354838709674</v>
      </c>
      <c r="N172" s="5">
        <f>(((N169/N2)*'REC HUMANOS'!$K$4)/12)*'REC HUMANOS'!$K$6</f>
        <v>211.69354838709674</v>
      </c>
      <c r="O172" s="5">
        <f>(((O169/O2)*'REC HUMANOS'!$K$4)/12)*'REC HUMANOS'!$K$6</f>
        <v>218.75</v>
      </c>
      <c r="P172" s="5">
        <f>(((P169/P2)*'REC HUMANOS'!$K$4)/12)*'REC HUMANOS'!$K$6</f>
        <v>211.69354838709674</v>
      </c>
      <c r="Q172" s="5">
        <f>(((Q169/Q2)*'REC HUMANOS'!$K$4)/12)*'REC HUMANOS'!$K$6</f>
        <v>218.75</v>
      </c>
      <c r="R172" s="5">
        <f>(((R169/R2)*'REC HUMANOS'!$K$4)/12)*'REC HUMANOS'!$K$6</f>
        <v>211.69354838709674</v>
      </c>
      <c r="S172" s="5">
        <f t="shared" si="41"/>
        <v>2591.2298387096771</v>
      </c>
    </row>
    <row r="173" spans="2:19" x14ac:dyDescent="0.35">
      <c r="B173">
        <v>170</v>
      </c>
      <c r="C173" t="s">
        <v>151</v>
      </c>
      <c r="D173" t="s">
        <v>100</v>
      </c>
      <c r="E173">
        <v>1003005</v>
      </c>
      <c r="F173" t="s">
        <v>76</v>
      </c>
      <c r="G173" s="5">
        <f>(((G169/G2)*'REC HUMANOS'!$K$4/12))</f>
        <v>846.77419354838696</v>
      </c>
      <c r="H173" s="5">
        <f>(((H169/H2)*'REC HUMANOS'!$K$4/12))</f>
        <v>937.5</v>
      </c>
      <c r="I173" s="5">
        <f>(((I169/I2)*'REC HUMANOS'!$K$4/12))</f>
        <v>846.77419354838696</v>
      </c>
      <c r="J173" s="5">
        <f>(((J169/J2)*'REC HUMANOS'!$K$4/12))</f>
        <v>875</v>
      </c>
      <c r="K173" s="5">
        <f>(((K169/K2)*'REC HUMANOS'!$K$4/12))</f>
        <v>846.77419354838696</v>
      </c>
      <c r="L173" s="5">
        <f>(((L169/L2)*'REC HUMANOS'!$K$4/12))</f>
        <v>875</v>
      </c>
      <c r="M173" s="5">
        <f>(((M169/M2)*'REC HUMANOS'!$K$4/12))</f>
        <v>846.77419354838696</v>
      </c>
      <c r="N173" s="5">
        <f>(((N169/N2)*'REC HUMANOS'!$K$4/12))</f>
        <v>846.77419354838696</v>
      </c>
      <c r="O173" s="5">
        <f>(((O169/O2)*'REC HUMANOS'!$K$4/12))</f>
        <v>875</v>
      </c>
      <c r="P173" s="5">
        <f>(((P169/P2)*'REC HUMANOS'!$K$4/12))</f>
        <v>846.77419354838696</v>
      </c>
      <c r="Q173" s="5">
        <f>(((Q169/Q2)*'REC HUMANOS'!$K$4/12))</f>
        <v>875</v>
      </c>
      <c r="R173" s="5">
        <f>(((R169/R2)*'REC HUMANOS'!$K$4/12))</f>
        <v>846.77419354838696</v>
      </c>
      <c r="S173" s="5">
        <f t="shared" si="41"/>
        <v>10364.919354838708</v>
      </c>
    </row>
    <row r="174" spans="2:19" x14ac:dyDescent="0.35">
      <c r="B174">
        <v>170</v>
      </c>
      <c r="C174" t="s">
        <v>151</v>
      </c>
      <c r="D174" t="s">
        <v>100</v>
      </c>
      <c r="E174">
        <v>1003006</v>
      </c>
      <c r="F174" t="s">
        <v>78</v>
      </c>
      <c r="G174" s="2">
        <f>(G169*'REC HUMANOS'!$G$2)*'REC HUMANOS'!$K$9</f>
        <v>4407.0600000000004</v>
      </c>
      <c r="H174" s="2">
        <f>(H169*'REC HUMANOS'!$G$2)*'REC HUMANOS'!$K$9</f>
        <v>4407.0600000000004</v>
      </c>
      <c r="I174" s="2">
        <f>(I169*'REC HUMANOS'!$G$2)*'REC HUMANOS'!$K$9</f>
        <v>4407.0600000000004</v>
      </c>
      <c r="J174" s="2">
        <f>(J169*'REC HUMANOS'!$G$2)*'REC HUMANOS'!$K$9</f>
        <v>4407.0600000000004</v>
      </c>
      <c r="K174" s="2">
        <f>(K169*'REC HUMANOS'!$G$2)*'REC HUMANOS'!$K$9</f>
        <v>4407.0600000000004</v>
      </c>
      <c r="L174" s="2">
        <f>(L169*'REC HUMANOS'!$G$2)*'REC HUMANOS'!$K$9</f>
        <v>4407.0600000000004</v>
      </c>
      <c r="M174" s="2">
        <f>(M169*'REC HUMANOS'!$G$2)*'REC HUMANOS'!$K$9</f>
        <v>4407.0600000000004</v>
      </c>
      <c r="N174" s="2">
        <f>(N169*'REC HUMANOS'!$G$2)*'REC HUMANOS'!$K$9</f>
        <v>4407.0600000000004</v>
      </c>
      <c r="O174" s="2">
        <f>(O169*'REC HUMANOS'!$G$2)*'REC HUMANOS'!$K$9</f>
        <v>4407.0600000000004</v>
      </c>
      <c r="P174" s="2">
        <f>(P169*'REC HUMANOS'!$G$2)*'REC HUMANOS'!$K$9</f>
        <v>4407.0600000000004</v>
      </c>
      <c r="Q174" s="2">
        <f>(Q169*'REC HUMANOS'!$G$2)*'REC HUMANOS'!$K$9</f>
        <v>4407.0600000000004</v>
      </c>
      <c r="R174" s="2">
        <f>(R169*'REC HUMANOS'!$G$2)*'REC HUMANOS'!$K$9</f>
        <v>4407.0600000000004</v>
      </c>
      <c r="S174" s="5">
        <f t="shared" si="41"/>
        <v>52884.719999999994</v>
      </c>
    </row>
    <row r="175" spans="2:19" x14ac:dyDescent="0.35">
      <c r="B175">
        <v>170</v>
      </c>
      <c r="C175" t="s">
        <v>151</v>
      </c>
      <c r="D175" t="s">
        <v>100</v>
      </c>
      <c r="E175">
        <v>1003007</v>
      </c>
      <c r="F175" t="s">
        <v>79</v>
      </c>
      <c r="G175" s="2">
        <f>(G169*'REC HUMANOS'!$G$2)*'REC HUMANOS'!$K$10</f>
        <v>991.58849999999995</v>
      </c>
      <c r="H175" s="2">
        <f>(H169*'REC HUMANOS'!$G$2)*'REC HUMANOS'!$K$10</f>
        <v>991.58849999999995</v>
      </c>
      <c r="I175" s="2">
        <f>(I169*'REC HUMANOS'!$G$2)*'REC HUMANOS'!$K$10</f>
        <v>991.58849999999995</v>
      </c>
      <c r="J175" s="2">
        <f>(J169*'REC HUMANOS'!$G$2)*'REC HUMANOS'!$K$10</f>
        <v>991.58849999999995</v>
      </c>
      <c r="K175" s="2">
        <f>(K169*'REC HUMANOS'!$G$2)*'REC HUMANOS'!$K$10</f>
        <v>991.58849999999995</v>
      </c>
      <c r="L175" s="2">
        <f>(L169*'REC HUMANOS'!$G$2)*'REC HUMANOS'!$K$10</f>
        <v>991.58849999999995</v>
      </c>
      <c r="M175" s="2">
        <f>(M169*'REC HUMANOS'!$G$2)*'REC HUMANOS'!$K$10</f>
        <v>991.58849999999995</v>
      </c>
      <c r="N175" s="2">
        <f>(N169*'REC HUMANOS'!$G$2)*'REC HUMANOS'!$K$10</f>
        <v>991.58849999999995</v>
      </c>
      <c r="O175" s="2">
        <f>(O169*'REC HUMANOS'!$G$2)*'REC HUMANOS'!$K$10</f>
        <v>991.58849999999995</v>
      </c>
      <c r="P175" s="2">
        <f>(P169*'REC HUMANOS'!$G$2)*'REC HUMANOS'!$K$10</f>
        <v>991.58849999999995</v>
      </c>
      <c r="Q175" s="2">
        <f>(Q169*'REC HUMANOS'!$G$2)*'REC HUMANOS'!$K$10</f>
        <v>991.58849999999995</v>
      </c>
      <c r="R175" s="2">
        <f>(R169*'REC HUMANOS'!$G$2)*'REC HUMANOS'!$K$10</f>
        <v>991.58849999999995</v>
      </c>
      <c r="S175" s="5">
        <f t="shared" si="41"/>
        <v>11899.062</v>
      </c>
    </row>
    <row r="176" spans="2:19" x14ac:dyDescent="0.35">
      <c r="B176">
        <v>170</v>
      </c>
      <c r="C176" t="s">
        <v>151</v>
      </c>
      <c r="D176" t="s">
        <v>100</v>
      </c>
      <c r="E176">
        <v>1003008</v>
      </c>
      <c r="F176" t="s">
        <v>81</v>
      </c>
      <c r="G176" s="2">
        <f>(G169*'REC HUMANOS'!$G$2)*'REC HUMANOS'!$K$11</f>
        <v>1101.7650000000001</v>
      </c>
      <c r="H176" s="2">
        <f>(H169*'REC HUMANOS'!$G$2)*'REC HUMANOS'!$K$11</f>
        <v>1101.7650000000001</v>
      </c>
      <c r="I176" s="2">
        <f>(I169*'REC HUMANOS'!$G$2)*'REC HUMANOS'!$K$11</f>
        <v>1101.7650000000001</v>
      </c>
      <c r="J176" s="2">
        <f>(J169*'REC HUMANOS'!$G$2)*'REC HUMANOS'!$K$11</f>
        <v>1101.7650000000001</v>
      </c>
      <c r="K176" s="2">
        <f>(K169*'REC HUMANOS'!$G$2)*'REC HUMANOS'!$K$11</f>
        <v>1101.7650000000001</v>
      </c>
      <c r="L176" s="2">
        <f>(L169*'REC HUMANOS'!$G$2)*'REC HUMANOS'!$K$11</f>
        <v>1101.7650000000001</v>
      </c>
      <c r="M176" s="2">
        <f>(M169*'REC HUMANOS'!$G$2)*'REC HUMANOS'!$K$11</f>
        <v>1101.7650000000001</v>
      </c>
      <c r="N176" s="2">
        <f>(N169*'REC HUMANOS'!$G$2)*'REC HUMANOS'!$K$11</f>
        <v>1101.7650000000001</v>
      </c>
      <c r="O176" s="2">
        <f>(O169*'REC HUMANOS'!$G$2)*'REC HUMANOS'!$K$11</f>
        <v>1101.7650000000001</v>
      </c>
      <c r="P176" s="2">
        <f>(P169*'REC HUMANOS'!$G$2)*'REC HUMANOS'!$K$11</f>
        <v>1101.7650000000001</v>
      </c>
      <c r="Q176" s="2">
        <f>(Q169*'REC HUMANOS'!$G$2)*'REC HUMANOS'!$K$11</f>
        <v>1101.7650000000001</v>
      </c>
      <c r="R176" s="2">
        <f>(R169*'REC HUMANOS'!$G$2)*'REC HUMANOS'!$K$11</f>
        <v>1101.7650000000001</v>
      </c>
      <c r="S176" s="5">
        <f t="shared" si="41"/>
        <v>13221.179999999998</v>
      </c>
    </row>
    <row r="177" spans="2:19" x14ac:dyDescent="0.35">
      <c r="B177">
        <v>170</v>
      </c>
      <c r="C177" t="s">
        <v>151</v>
      </c>
      <c r="D177" t="s">
        <v>100</v>
      </c>
      <c r="E177">
        <v>1003009</v>
      </c>
      <c r="F177" t="s">
        <v>80</v>
      </c>
      <c r="G177" s="2">
        <f>(G169*'REC HUMANOS'!$G$2)*'REC HUMANOS'!$K$14</f>
        <v>661.05899999999997</v>
      </c>
      <c r="H177" s="2">
        <f>(H169*'REC HUMANOS'!$G$2)*'REC HUMANOS'!$K$14</f>
        <v>661.05899999999997</v>
      </c>
      <c r="I177" s="2">
        <f>(I169*'REC HUMANOS'!$G$2)*'REC HUMANOS'!$K$14</f>
        <v>661.05899999999997</v>
      </c>
      <c r="J177" s="2">
        <f>(J169*'REC HUMANOS'!$G$2)*'REC HUMANOS'!$K$14</f>
        <v>661.05899999999997</v>
      </c>
      <c r="K177" s="2">
        <f>(K169*'REC HUMANOS'!$G$2)*'REC HUMANOS'!$K$14</f>
        <v>661.05899999999997</v>
      </c>
      <c r="L177" s="2">
        <f>(L169*'REC HUMANOS'!$G$2)*'REC HUMANOS'!$K$14</f>
        <v>661.05899999999997</v>
      </c>
      <c r="M177" s="2">
        <f>(M169*'REC HUMANOS'!$G$2)*'REC HUMANOS'!$K$14</f>
        <v>661.05899999999997</v>
      </c>
      <c r="N177" s="2">
        <f>(N169*'REC HUMANOS'!$G$2)*'REC HUMANOS'!$K$14</f>
        <v>661.05899999999997</v>
      </c>
      <c r="O177" s="2">
        <f>(O169*'REC HUMANOS'!$G$2)*'REC HUMANOS'!$K$14</f>
        <v>661.05899999999997</v>
      </c>
      <c r="P177" s="2">
        <f>(P169*'REC HUMANOS'!$G$2)*'REC HUMANOS'!$K$14</f>
        <v>661.05899999999997</v>
      </c>
      <c r="Q177" s="2">
        <f>(Q169*'REC HUMANOS'!$G$2)*'REC HUMANOS'!$K$14</f>
        <v>661.05899999999997</v>
      </c>
      <c r="R177" s="2">
        <f>(R169*'REC HUMANOS'!$G$2)*'REC HUMANOS'!$K$14</f>
        <v>661.05899999999997</v>
      </c>
      <c r="S177" s="5">
        <f t="shared" si="41"/>
        <v>7932.7080000000014</v>
      </c>
    </row>
    <row r="178" spans="2:19" x14ac:dyDescent="0.35">
      <c r="B178">
        <v>170</v>
      </c>
      <c r="C178" t="s">
        <v>151</v>
      </c>
      <c r="D178" t="s">
        <v>100</v>
      </c>
      <c r="E178">
        <v>1003101</v>
      </c>
      <c r="F178" t="s">
        <v>89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f t="shared" si="41"/>
        <v>0</v>
      </c>
    </row>
    <row r="179" spans="2:19" x14ac:dyDescent="0.35">
      <c r="B179">
        <v>170</v>
      </c>
      <c r="C179" t="s">
        <v>151</v>
      </c>
      <c r="D179" t="s">
        <v>100</v>
      </c>
      <c r="E179">
        <v>1003102</v>
      </c>
      <c r="F179" t="s">
        <v>90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f t="shared" si="41"/>
        <v>0</v>
      </c>
    </row>
    <row r="180" spans="2:19" x14ac:dyDescent="0.35">
      <c r="B180">
        <v>170</v>
      </c>
      <c r="C180" t="s">
        <v>151</v>
      </c>
      <c r="D180" t="s">
        <v>100</v>
      </c>
      <c r="E180">
        <v>1003103</v>
      </c>
      <c r="F180" t="s">
        <v>91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f t="shared" si="41"/>
        <v>0</v>
      </c>
    </row>
    <row r="181" spans="2:19" x14ac:dyDescent="0.35">
      <c r="B181">
        <v>170</v>
      </c>
      <c r="C181" t="s">
        <v>151</v>
      </c>
      <c r="D181" t="s">
        <v>100</v>
      </c>
      <c r="E181">
        <v>1003104</v>
      </c>
      <c r="F181" t="s">
        <v>92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f t="shared" si="41"/>
        <v>0</v>
      </c>
    </row>
    <row r="182" spans="2:19" x14ac:dyDescent="0.35">
      <c r="C182" t="s">
        <v>96</v>
      </c>
      <c r="G182" s="5">
        <f>SUM(G154:G181)</f>
        <v>29419.940241935488</v>
      </c>
      <c r="H182" s="5">
        <f t="shared" ref="H182" si="43">SUM(H154:H181)</f>
        <v>29533.347500000003</v>
      </c>
      <c r="I182" s="5">
        <f t="shared" ref="I182" si="44">SUM(I154:I181)</f>
        <v>29419.940241935488</v>
      </c>
      <c r="J182" s="5">
        <f t="shared" ref="J182" si="45">SUM(J154:J181)</f>
        <v>29455.222500000003</v>
      </c>
      <c r="K182" s="5">
        <f t="shared" ref="K182" si="46">SUM(K154:K181)</f>
        <v>29419.940241935488</v>
      </c>
      <c r="L182" s="5">
        <f t="shared" ref="L182" si="47">SUM(L154:L181)</f>
        <v>29455.222500000003</v>
      </c>
      <c r="M182" s="5">
        <f t="shared" ref="M182" si="48">SUM(M154:M181)</f>
        <v>29419.940241935488</v>
      </c>
      <c r="N182" s="5">
        <f t="shared" ref="N182" si="49">SUM(N154:N181)</f>
        <v>29419.940241935488</v>
      </c>
      <c r="O182" s="5">
        <f t="shared" ref="O182" si="50">SUM(O154:O181)</f>
        <v>29455.222500000003</v>
      </c>
      <c r="P182" s="5">
        <f t="shared" ref="P182" si="51">SUM(P154:P181)</f>
        <v>29419.940241935488</v>
      </c>
      <c r="Q182" s="5">
        <f t="shared" ref="Q182" si="52">SUM(Q154:Q181)</f>
        <v>29455.222500000003</v>
      </c>
      <c r="R182" s="5">
        <f t="shared" ref="R182" si="53">SUM(R154:R181)</f>
        <v>29419.940241935488</v>
      </c>
      <c r="S182" s="5">
        <f t="shared" ref="S182" si="54">SUM(S154:S181)</f>
        <v>353293.81919354829</v>
      </c>
    </row>
    <row r="185" spans="2:19" x14ac:dyDescent="0.35">
      <c r="D185" s="6" t="s">
        <v>160</v>
      </c>
    </row>
    <row r="186" spans="2:19" x14ac:dyDescent="0.35">
      <c r="D186" t="s">
        <v>101</v>
      </c>
      <c r="E186">
        <v>1001001</v>
      </c>
      <c r="F186" t="s">
        <v>73</v>
      </c>
      <c r="G186" s="5">
        <f>G4+G34+G64+G94+G124+G154</f>
        <v>195300</v>
      </c>
      <c r="H186" s="5">
        <f t="shared" ref="H186:R186" si="55">H4+H34+H64+H94+H124+H154</f>
        <v>176400</v>
      </c>
      <c r="I186" s="5">
        <f t="shared" si="55"/>
        <v>195300</v>
      </c>
      <c r="J186" s="5">
        <f t="shared" si="55"/>
        <v>189000</v>
      </c>
      <c r="K186" s="5">
        <f t="shared" si="55"/>
        <v>195300</v>
      </c>
      <c r="L186" s="5">
        <f t="shared" si="55"/>
        <v>189000</v>
      </c>
      <c r="M186" s="5">
        <f t="shared" si="55"/>
        <v>195300</v>
      </c>
      <c r="N186" s="5">
        <f t="shared" si="55"/>
        <v>195300</v>
      </c>
      <c r="O186" s="5">
        <f t="shared" si="55"/>
        <v>189000</v>
      </c>
      <c r="P186" s="5">
        <f t="shared" si="55"/>
        <v>195300</v>
      </c>
      <c r="Q186" s="5">
        <f t="shared" si="55"/>
        <v>189000</v>
      </c>
      <c r="R186" s="5">
        <f t="shared" si="55"/>
        <v>195300</v>
      </c>
      <c r="S186" s="5">
        <f t="shared" ref="S186:S213" si="56">SUM(G186:R186)</f>
        <v>2299500</v>
      </c>
    </row>
    <row r="187" spans="2:19" x14ac:dyDescent="0.35">
      <c r="D187" t="s">
        <v>101</v>
      </c>
      <c r="E187">
        <v>1001002</v>
      </c>
      <c r="F187" t="s">
        <v>74</v>
      </c>
      <c r="G187" s="5">
        <f t="shared" ref="G187:R187" si="57">G5+G35+G65+G95+G125+G155</f>
        <v>0</v>
      </c>
      <c r="H187" s="5">
        <f t="shared" si="57"/>
        <v>0</v>
      </c>
      <c r="I187" s="5">
        <f t="shared" si="57"/>
        <v>0</v>
      </c>
      <c r="J187" s="5">
        <f t="shared" si="57"/>
        <v>0</v>
      </c>
      <c r="K187" s="5">
        <f t="shared" si="57"/>
        <v>0</v>
      </c>
      <c r="L187" s="5">
        <f t="shared" si="57"/>
        <v>0</v>
      </c>
      <c r="M187" s="5">
        <f t="shared" si="57"/>
        <v>0</v>
      </c>
      <c r="N187" s="5">
        <f t="shared" si="57"/>
        <v>0</v>
      </c>
      <c r="O187" s="5">
        <f t="shared" si="57"/>
        <v>0</v>
      </c>
      <c r="P187" s="5">
        <f t="shared" si="57"/>
        <v>0</v>
      </c>
      <c r="Q187" s="5">
        <f t="shared" si="57"/>
        <v>0</v>
      </c>
      <c r="R187" s="5">
        <f t="shared" si="57"/>
        <v>0</v>
      </c>
      <c r="S187" s="5">
        <f t="shared" si="56"/>
        <v>0</v>
      </c>
    </row>
    <row r="188" spans="2:19" x14ac:dyDescent="0.35">
      <c r="D188" t="s">
        <v>101</v>
      </c>
      <c r="E188">
        <v>1001003</v>
      </c>
      <c r="F188" t="s">
        <v>77</v>
      </c>
      <c r="G188" s="5">
        <f t="shared" ref="G188:R188" si="58">G6+G36+G66+G96+G126+G156</f>
        <v>0</v>
      </c>
      <c r="H188" s="5">
        <f t="shared" si="58"/>
        <v>0</v>
      </c>
      <c r="I188" s="5">
        <f t="shared" si="58"/>
        <v>0</v>
      </c>
      <c r="J188" s="5">
        <f t="shared" si="58"/>
        <v>0</v>
      </c>
      <c r="K188" s="5">
        <f t="shared" si="58"/>
        <v>0</v>
      </c>
      <c r="L188" s="5">
        <f t="shared" si="58"/>
        <v>0</v>
      </c>
      <c r="M188" s="5">
        <f t="shared" si="58"/>
        <v>0</v>
      </c>
      <c r="N188" s="5">
        <f t="shared" si="58"/>
        <v>0</v>
      </c>
      <c r="O188" s="5">
        <f t="shared" si="58"/>
        <v>0</v>
      </c>
      <c r="P188" s="5">
        <f t="shared" si="58"/>
        <v>0</v>
      </c>
      <c r="Q188" s="5">
        <f t="shared" si="58"/>
        <v>0</v>
      </c>
      <c r="R188" s="5">
        <f t="shared" si="58"/>
        <v>0</v>
      </c>
      <c r="S188" s="5">
        <f t="shared" si="56"/>
        <v>0</v>
      </c>
    </row>
    <row r="189" spans="2:19" x14ac:dyDescent="0.35">
      <c r="D189" t="s">
        <v>101</v>
      </c>
      <c r="E189">
        <v>1001004</v>
      </c>
      <c r="F189" t="s">
        <v>75</v>
      </c>
      <c r="G189" s="5">
        <f t="shared" ref="G189:R189" si="59">G7+G37+G67+G97+G127+G157</f>
        <v>1968.75</v>
      </c>
      <c r="H189" s="5">
        <f t="shared" si="59"/>
        <v>1968.75</v>
      </c>
      <c r="I189" s="5">
        <f t="shared" si="59"/>
        <v>1968.75</v>
      </c>
      <c r="J189" s="5">
        <f t="shared" si="59"/>
        <v>1968.75</v>
      </c>
      <c r="K189" s="5">
        <f t="shared" si="59"/>
        <v>1968.75</v>
      </c>
      <c r="L189" s="5">
        <f t="shared" si="59"/>
        <v>1968.75</v>
      </c>
      <c r="M189" s="5">
        <f t="shared" si="59"/>
        <v>1968.75</v>
      </c>
      <c r="N189" s="5">
        <f t="shared" si="59"/>
        <v>1968.75</v>
      </c>
      <c r="O189" s="5">
        <f t="shared" si="59"/>
        <v>1968.75</v>
      </c>
      <c r="P189" s="5">
        <f t="shared" si="59"/>
        <v>1968.75</v>
      </c>
      <c r="Q189" s="5">
        <f t="shared" si="59"/>
        <v>1968.75</v>
      </c>
      <c r="R189" s="5">
        <f t="shared" si="59"/>
        <v>1968.75</v>
      </c>
      <c r="S189" s="5">
        <f t="shared" si="56"/>
        <v>23625</v>
      </c>
    </row>
    <row r="190" spans="2:19" x14ac:dyDescent="0.35">
      <c r="D190" t="s">
        <v>101</v>
      </c>
      <c r="E190">
        <v>1001005</v>
      </c>
      <c r="F190" t="s">
        <v>76</v>
      </c>
      <c r="G190" s="5">
        <f t="shared" ref="G190:R190" si="60">G8+G38+G68+G98+G128+G158</f>
        <v>7875</v>
      </c>
      <c r="H190" s="5">
        <f t="shared" si="60"/>
        <v>7875</v>
      </c>
      <c r="I190" s="5">
        <f t="shared" si="60"/>
        <v>7875</v>
      </c>
      <c r="J190" s="5">
        <f t="shared" si="60"/>
        <v>7875</v>
      </c>
      <c r="K190" s="5">
        <f t="shared" si="60"/>
        <v>7875</v>
      </c>
      <c r="L190" s="5">
        <f t="shared" si="60"/>
        <v>7875</v>
      </c>
      <c r="M190" s="5">
        <f t="shared" si="60"/>
        <v>7875</v>
      </c>
      <c r="N190" s="5">
        <f t="shared" si="60"/>
        <v>7875</v>
      </c>
      <c r="O190" s="5">
        <f t="shared" si="60"/>
        <v>7875</v>
      </c>
      <c r="P190" s="5">
        <f t="shared" si="60"/>
        <v>7875</v>
      </c>
      <c r="Q190" s="5">
        <f t="shared" si="60"/>
        <v>7875</v>
      </c>
      <c r="R190" s="5">
        <f t="shared" si="60"/>
        <v>7875</v>
      </c>
      <c r="S190" s="5">
        <f t="shared" si="56"/>
        <v>94500</v>
      </c>
    </row>
    <row r="191" spans="2:19" x14ac:dyDescent="0.35">
      <c r="D191" t="s">
        <v>101</v>
      </c>
      <c r="E191">
        <v>1001006</v>
      </c>
      <c r="F191" t="s">
        <v>78</v>
      </c>
      <c r="G191" s="5">
        <f t="shared" ref="G191:R191" si="61">G9+G39+G69+G99+G129+G159</f>
        <v>40985.657999999996</v>
      </c>
      <c r="H191" s="5">
        <f t="shared" si="61"/>
        <v>37019.303999999996</v>
      </c>
      <c r="I191" s="5">
        <f t="shared" si="61"/>
        <v>40985.657999999996</v>
      </c>
      <c r="J191" s="5">
        <f t="shared" si="61"/>
        <v>39663.539999999994</v>
      </c>
      <c r="K191" s="5">
        <f t="shared" si="61"/>
        <v>40985.657999999996</v>
      </c>
      <c r="L191" s="5">
        <f t="shared" si="61"/>
        <v>39663.539999999994</v>
      </c>
      <c r="M191" s="5">
        <f t="shared" si="61"/>
        <v>40985.657999999996</v>
      </c>
      <c r="N191" s="5">
        <f t="shared" si="61"/>
        <v>40985.657999999996</v>
      </c>
      <c r="O191" s="5">
        <f t="shared" si="61"/>
        <v>39663.539999999994</v>
      </c>
      <c r="P191" s="5">
        <f t="shared" si="61"/>
        <v>40985.657999999996</v>
      </c>
      <c r="Q191" s="5">
        <f t="shared" si="61"/>
        <v>39663.539999999994</v>
      </c>
      <c r="R191" s="5">
        <f t="shared" si="61"/>
        <v>40985.657999999996</v>
      </c>
      <c r="S191" s="5">
        <f t="shared" si="56"/>
        <v>482573.06999999989</v>
      </c>
    </row>
    <row r="192" spans="2:19" x14ac:dyDescent="0.35">
      <c r="D192" t="s">
        <v>101</v>
      </c>
      <c r="E192">
        <v>1001007</v>
      </c>
      <c r="F192" t="s">
        <v>79</v>
      </c>
      <c r="G192" s="5">
        <f t="shared" ref="G192:R192" si="62">G10+G40+G70+G100+G130+G160</f>
        <v>9221.773049999998</v>
      </c>
      <c r="H192" s="5">
        <f t="shared" si="62"/>
        <v>8329.3433999999997</v>
      </c>
      <c r="I192" s="5">
        <f t="shared" si="62"/>
        <v>9221.773049999998</v>
      </c>
      <c r="J192" s="5">
        <f t="shared" si="62"/>
        <v>8924.2964999999986</v>
      </c>
      <c r="K192" s="5">
        <f t="shared" si="62"/>
        <v>9221.773049999998</v>
      </c>
      <c r="L192" s="5">
        <f t="shared" si="62"/>
        <v>8924.2964999999986</v>
      </c>
      <c r="M192" s="5">
        <f t="shared" si="62"/>
        <v>9221.773049999998</v>
      </c>
      <c r="N192" s="5">
        <f t="shared" si="62"/>
        <v>9221.773049999998</v>
      </c>
      <c r="O192" s="5">
        <f t="shared" si="62"/>
        <v>8924.2964999999986</v>
      </c>
      <c r="P192" s="5">
        <f t="shared" si="62"/>
        <v>9221.773049999998</v>
      </c>
      <c r="Q192" s="5">
        <f t="shared" si="62"/>
        <v>8924.2964999999986</v>
      </c>
      <c r="R192" s="5">
        <f t="shared" si="62"/>
        <v>9221.773049999998</v>
      </c>
      <c r="S192" s="5">
        <f t="shared" si="56"/>
        <v>108578.94074999998</v>
      </c>
    </row>
    <row r="193" spans="4:19" x14ac:dyDescent="0.35">
      <c r="D193" t="s">
        <v>101</v>
      </c>
      <c r="E193">
        <v>1001008</v>
      </c>
      <c r="F193" t="s">
        <v>81</v>
      </c>
      <c r="G193" s="5">
        <f t="shared" ref="G193:R193" si="63">G11+G41+G71+G101+G131+G161</f>
        <v>10246.414499999999</v>
      </c>
      <c r="H193" s="5">
        <f t="shared" si="63"/>
        <v>9254.8259999999991</v>
      </c>
      <c r="I193" s="5">
        <f t="shared" si="63"/>
        <v>10246.414499999999</v>
      </c>
      <c r="J193" s="5">
        <f t="shared" si="63"/>
        <v>9915.8849999999984</v>
      </c>
      <c r="K193" s="5">
        <f t="shared" si="63"/>
        <v>10246.414499999999</v>
      </c>
      <c r="L193" s="5">
        <f t="shared" si="63"/>
        <v>9915.8849999999984</v>
      </c>
      <c r="M193" s="5">
        <f t="shared" si="63"/>
        <v>10246.414499999999</v>
      </c>
      <c r="N193" s="5">
        <f t="shared" si="63"/>
        <v>10246.414499999999</v>
      </c>
      <c r="O193" s="5">
        <f t="shared" si="63"/>
        <v>9915.8849999999984</v>
      </c>
      <c r="P193" s="5">
        <f t="shared" si="63"/>
        <v>10246.414499999999</v>
      </c>
      <c r="Q193" s="5">
        <f t="shared" si="63"/>
        <v>9915.8849999999984</v>
      </c>
      <c r="R193" s="5">
        <f t="shared" si="63"/>
        <v>10246.414499999999</v>
      </c>
      <c r="S193" s="5">
        <f t="shared" si="56"/>
        <v>120643.26749999997</v>
      </c>
    </row>
    <row r="194" spans="4:19" x14ac:dyDescent="0.35">
      <c r="D194" t="s">
        <v>101</v>
      </c>
      <c r="E194">
        <v>1001009</v>
      </c>
      <c r="F194" t="s">
        <v>80</v>
      </c>
      <c r="G194" s="5">
        <f t="shared" ref="G194:R194" si="64">G12+G42+G72+G102+G132+G162</f>
        <v>6147.8486999999986</v>
      </c>
      <c r="H194" s="5">
        <f t="shared" si="64"/>
        <v>5552.8955999999989</v>
      </c>
      <c r="I194" s="5">
        <f t="shared" si="64"/>
        <v>6147.8486999999986</v>
      </c>
      <c r="J194" s="5">
        <f t="shared" si="64"/>
        <v>5949.530999999999</v>
      </c>
      <c r="K194" s="5">
        <f t="shared" si="64"/>
        <v>6147.8486999999986</v>
      </c>
      <c r="L194" s="5">
        <f t="shared" si="64"/>
        <v>5949.530999999999</v>
      </c>
      <c r="M194" s="5">
        <f t="shared" si="64"/>
        <v>6147.8486999999986</v>
      </c>
      <c r="N194" s="5">
        <f t="shared" si="64"/>
        <v>6147.8486999999986</v>
      </c>
      <c r="O194" s="5">
        <f t="shared" si="64"/>
        <v>5949.530999999999</v>
      </c>
      <c r="P194" s="5">
        <f t="shared" si="64"/>
        <v>6147.8486999999986</v>
      </c>
      <c r="Q194" s="5">
        <f t="shared" si="64"/>
        <v>5949.530999999999</v>
      </c>
      <c r="R194" s="5">
        <f t="shared" si="64"/>
        <v>6147.8486999999986</v>
      </c>
      <c r="S194" s="5">
        <f t="shared" si="56"/>
        <v>72385.960500000001</v>
      </c>
    </row>
    <row r="195" spans="4:19" x14ac:dyDescent="0.35">
      <c r="D195" t="s">
        <v>102</v>
      </c>
      <c r="E195">
        <v>1002001</v>
      </c>
      <c r="F195" s="11" t="s">
        <v>83</v>
      </c>
      <c r="G195" s="5">
        <f t="shared" ref="G195:R195" si="65">G13+G43+G73+G103+G133+G163</f>
        <v>62450</v>
      </c>
      <c r="H195" s="5">
        <f t="shared" si="65"/>
        <v>62450</v>
      </c>
      <c r="I195" s="5">
        <f t="shared" si="65"/>
        <v>62450</v>
      </c>
      <c r="J195" s="5">
        <f t="shared" si="65"/>
        <v>62450</v>
      </c>
      <c r="K195" s="5">
        <f t="shared" si="65"/>
        <v>62450</v>
      </c>
      <c r="L195" s="5">
        <f t="shared" si="65"/>
        <v>62450</v>
      </c>
      <c r="M195" s="5">
        <f t="shared" si="65"/>
        <v>62450</v>
      </c>
      <c r="N195" s="5">
        <f t="shared" si="65"/>
        <v>62450</v>
      </c>
      <c r="O195" s="5">
        <f t="shared" si="65"/>
        <v>62450</v>
      </c>
      <c r="P195" s="5">
        <f t="shared" si="65"/>
        <v>62450</v>
      </c>
      <c r="Q195" s="5">
        <f t="shared" si="65"/>
        <v>62450</v>
      </c>
      <c r="R195" s="5">
        <f t="shared" si="65"/>
        <v>62450</v>
      </c>
      <c r="S195" s="5">
        <f t="shared" si="56"/>
        <v>749400</v>
      </c>
    </row>
    <row r="196" spans="4:19" x14ac:dyDescent="0.35">
      <c r="D196" t="s">
        <v>102</v>
      </c>
      <c r="E196">
        <v>1002002</v>
      </c>
      <c r="F196" s="11" t="s">
        <v>84</v>
      </c>
      <c r="G196" s="5">
        <f t="shared" ref="G196:R196" si="66">G14+G44+G74+G104+G134+G164</f>
        <v>15150</v>
      </c>
      <c r="H196" s="5">
        <f t="shared" si="66"/>
        <v>15150</v>
      </c>
      <c r="I196" s="5">
        <f t="shared" si="66"/>
        <v>15150</v>
      </c>
      <c r="J196" s="5">
        <f t="shared" si="66"/>
        <v>15150</v>
      </c>
      <c r="K196" s="5">
        <f t="shared" si="66"/>
        <v>15150</v>
      </c>
      <c r="L196" s="5">
        <f t="shared" si="66"/>
        <v>15150</v>
      </c>
      <c r="M196" s="5">
        <f t="shared" si="66"/>
        <v>15150</v>
      </c>
      <c r="N196" s="5">
        <f t="shared" si="66"/>
        <v>15150</v>
      </c>
      <c r="O196" s="5">
        <f t="shared" si="66"/>
        <v>15150</v>
      </c>
      <c r="P196" s="5">
        <f t="shared" si="66"/>
        <v>15150</v>
      </c>
      <c r="Q196" s="5">
        <f t="shared" si="66"/>
        <v>15150</v>
      </c>
      <c r="R196" s="5">
        <f t="shared" si="66"/>
        <v>15150</v>
      </c>
      <c r="S196" s="5">
        <f t="shared" si="56"/>
        <v>181800</v>
      </c>
    </row>
    <row r="197" spans="4:19" x14ac:dyDescent="0.35">
      <c r="D197" t="s">
        <v>102</v>
      </c>
      <c r="E197">
        <v>1002003</v>
      </c>
      <c r="F197" s="11" t="s">
        <v>85</v>
      </c>
      <c r="G197" s="5">
        <f t="shared" ref="G197:R197" si="67">G15+G45+G75+G105+G135+G165</f>
        <v>4500</v>
      </c>
      <c r="H197" s="5">
        <f t="shared" si="67"/>
        <v>4500</v>
      </c>
      <c r="I197" s="5">
        <f t="shared" si="67"/>
        <v>4500</v>
      </c>
      <c r="J197" s="5">
        <f t="shared" si="67"/>
        <v>4500</v>
      </c>
      <c r="K197" s="5">
        <f t="shared" si="67"/>
        <v>4500</v>
      </c>
      <c r="L197" s="5">
        <f t="shared" si="67"/>
        <v>4500</v>
      </c>
      <c r="M197" s="5">
        <f t="shared" si="67"/>
        <v>4500</v>
      </c>
      <c r="N197" s="5">
        <f t="shared" si="67"/>
        <v>4500</v>
      </c>
      <c r="O197" s="5">
        <f t="shared" si="67"/>
        <v>4500</v>
      </c>
      <c r="P197" s="5">
        <f t="shared" si="67"/>
        <v>4500</v>
      </c>
      <c r="Q197" s="5">
        <f t="shared" si="67"/>
        <v>4500</v>
      </c>
      <c r="R197" s="5">
        <f t="shared" si="67"/>
        <v>4500</v>
      </c>
      <c r="S197" s="5">
        <f t="shared" si="56"/>
        <v>54000</v>
      </c>
    </row>
    <row r="198" spans="4:19" x14ac:dyDescent="0.35">
      <c r="D198" t="s">
        <v>102</v>
      </c>
      <c r="E198">
        <v>1002004</v>
      </c>
      <c r="F198" s="11" t="s">
        <v>86</v>
      </c>
      <c r="G198" s="5">
        <f t="shared" ref="G198:R198" si="68">G16+G46+G76+G106+G136+G166</f>
        <v>3400</v>
      </c>
      <c r="H198" s="5">
        <f t="shared" si="68"/>
        <v>3400</v>
      </c>
      <c r="I198" s="5">
        <f t="shared" si="68"/>
        <v>3400</v>
      </c>
      <c r="J198" s="5">
        <f t="shared" si="68"/>
        <v>3400</v>
      </c>
      <c r="K198" s="5">
        <f t="shared" si="68"/>
        <v>3400</v>
      </c>
      <c r="L198" s="5">
        <f t="shared" si="68"/>
        <v>3400</v>
      </c>
      <c r="M198" s="5">
        <f t="shared" si="68"/>
        <v>3400</v>
      </c>
      <c r="N198" s="5">
        <f t="shared" si="68"/>
        <v>3400</v>
      </c>
      <c r="O198" s="5">
        <f t="shared" si="68"/>
        <v>3400</v>
      </c>
      <c r="P198" s="5">
        <f t="shared" si="68"/>
        <v>3400</v>
      </c>
      <c r="Q198" s="5">
        <f t="shared" si="68"/>
        <v>3400</v>
      </c>
      <c r="R198" s="5">
        <f t="shared" si="68"/>
        <v>3400</v>
      </c>
      <c r="S198" s="5">
        <f t="shared" si="56"/>
        <v>40800</v>
      </c>
    </row>
    <row r="199" spans="4:19" x14ac:dyDescent="0.35">
      <c r="D199" t="s">
        <v>102</v>
      </c>
      <c r="E199">
        <v>1002005</v>
      </c>
      <c r="F199" s="11" t="s">
        <v>87</v>
      </c>
      <c r="G199" s="5">
        <f t="shared" ref="G199:R199" si="69">G17+G47+G77+G107+G137+G167</f>
        <v>3100</v>
      </c>
      <c r="H199" s="5">
        <f t="shared" si="69"/>
        <v>3100</v>
      </c>
      <c r="I199" s="5">
        <f t="shared" si="69"/>
        <v>3100</v>
      </c>
      <c r="J199" s="5">
        <f t="shared" si="69"/>
        <v>3100</v>
      </c>
      <c r="K199" s="5">
        <f t="shared" si="69"/>
        <v>3100</v>
      </c>
      <c r="L199" s="5">
        <f t="shared" si="69"/>
        <v>3100</v>
      </c>
      <c r="M199" s="5">
        <f t="shared" si="69"/>
        <v>3100</v>
      </c>
      <c r="N199" s="5">
        <f t="shared" si="69"/>
        <v>3100</v>
      </c>
      <c r="O199" s="5">
        <f t="shared" si="69"/>
        <v>3100</v>
      </c>
      <c r="P199" s="5">
        <f t="shared" si="69"/>
        <v>3100</v>
      </c>
      <c r="Q199" s="5">
        <f t="shared" si="69"/>
        <v>3100</v>
      </c>
      <c r="R199" s="5">
        <f t="shared" si="69"/>
        <v>3100</v>
      </c>
      <c r="S199" s="5">
        <f t="shared" si="56"/>
        <v>37200</v>
      </c>
    </row>
    <row r="200" spans="4:19" x14ac:dyDescent="0.35">
      <c r="D200" t="s">
        <v>102</v>
      </c>
      <c r="E200">
        <v>1002006</v>
      </c>
      <c r="F200" s="11" t="s">
        <v>88</v>
      </c>
      <c r="G200" s="5">
        <f t="shared" ref="G200:R200" si="70">G18+G48+G78+G108+G138+G168</f>
        <v>1600</v>
      </c>
      <c r="H200" s="5">
        <f t="shared" si="70"/>
        <v>1600</v>
      </c>
      <c r="I200" s="5">
        <f t="shared" si="70"/>
        <v>1600</v>
      </c>
      <c r="J200" s="5">
        <f t="shared" si="70"/>
        <v>1600</v>
      </c>
      <c r="K200" s="5">
        <f t="shared" si="70"/>
        <v>1600</v>
      </c>
      <c r="L200" s="5">
        <f t="shared" si="70"/>
        <v>1600</v>
      </c>
      <c r="M200" s="5">
        <f t="shared" si="70"/>
        <v>1600</v>
      </c>
      <c r="N200" s="5">
        <f t="shared" si="70"/>
        <v>1600</v>
      </c>
      <c r="O200" s="5">
        <f t="shared" si="70"/>
        <v>1600</v>
      </c>
      <c r="P200" s="5">
        <f t="shared" si="70"/>
        <v>1600</v>
      </c>
      <c r="Q200" s="5">
        <f t="shared" si="70"/>
        <v>1600</v>
      </c>
      <c r="R200" s="5">
        <f t="shared" si="70"/>
        <v>1600</v>
      </c>
      <c r="S200" s="5">
        <f t="shared" si="56"/>
        <v>19200</v>
      </c>
    </row>
    <row r="201" spans="4:19" x14ac:dyDescent="0.35">
      <c r="D201" t="s">
        <v>100</v>
      </c>
      <c r="E201">
        <v>1003001</v>
      </c>
      <c r="F201" t="s">
        <v>82</v>
      </c>
      <c r="G201" s="5">
        <f t="shared" ref="G201:R201" si="71">G19+G49+G79+G109+G139+G169</f>
        <v>108000</v>
      </c>
      <c r="H201" s="5">
        <f t="shared" si="71"/>
        <v>108000</v>
      </c>
      <c r="I201" s="5">
        <f t="shared" si="71"/>
        <v>108000</v>
      </c>
      <c r="J201" s="5">
        <f t="shared" si="71"/>
        <v>108000</v>
      </c>
      <c r="K201" s="5">
        <f t="shared" si="71"/>
        <v>108000</v>
      </c>
      <c r="L201" s="5">
        <f t="shared" si="71"/>
        <v>108000</v>
      </c>
      <c r="M201" s="5">
        <f t="shared" si="71"/>
        <v>108000</v>
      </c>
      <c r="N201" s="5">
        <f t="shared" si="71"/>
        <v>108000</v>
      </c>
      <c r="O201" s="5">
        <f t="shared" si="71"/>
        <v>108000</v>
      </c>
      <c r="P201" s="5">
        <f t="shared" si="71"/>
        <v>108000</v>
      </c>
      <c r="Q201" s="5">
        <f t="shared" si="71"/>
        <v>108000</v>
      </c>
      <c r="R201" s="5">
        <f t="shared" si="71"/>
        <v>108000</v>
      </c>
      <c r="S201" s="5">
        <f t="shared" si="56"/>
        <v>1296000</v>
      </c>
    </row>
    <row r="202" spans="4:19" x14ac:dyDescent="0.35">
      <c r="D202" t="s">
        <v>100</v>
      </c>
      <c r="E202">
        <v>1003002</v>
      </c>
      <c r="F202" t="s">
        <v>74</v>
      </c>
      <c r="G202" s="5">
        <f t="shared" ref="G202:R202" si="72">G20+G50+G80+G110+G140+G170</f>
        <v>0</v>
      </c>
      <c r="H202" s="5">
        <f t="shared" si="72"/>
        <v>0</v>
      </c>
      <c r="I202" s="5">
        <f t="shared" si="72"/>
        <v>0</v>
      </c>
      <c r="J202" s="5">
        <f t="shared" si="72"/>
        <v>0</v>
      </c>
      <c r="K202" s="5">
        <f t="shared" si="72"/>
        <v>0</v>
      </c>
      <c r="L202" s="5">
        <f t="shared" si="72"/>
        <v>0</v>
      </c>
      <c r="M202" s="5">
        <f t="shared" si="72"/>
        <v>0</v>
      </c>
      <c r="N202" s="5">
        <f t="shared" si="72"/>
        <v>0</v>
      </c>
      <c r="O202" s="5">
        <f t="shared" si="72"/>
        <v>0</v>
      </c>
      <c r="P202" s="5">
        <f t="shared" si="72"/>
        <v>0</v>
      </c>
      <c r="Q202" s="5">
        <f t="shared" si="72"/>
        <v>0</v>
      </c>
      <c r="R202" s="5">
        <f t="shared" si="72"/>
        <v>0</v>
      </c>
      <c r="S202" s="5">
        <f t="shared" si="56"/>
        <v>0</v>
      </c>
    </row>
    <row r="203" spans="4:19" x14ac:dyDescent="0.35">
      <c r="D203" t="s">
        <v>100</v>
      </c>
      <c r="E203">
        <v>1003003</v>
      </c>
      <c r="F203" t="s">
        <v>77</v>
      </c>
      <c r="G203" s="5">
        <f t="shared" ref="G203:R203" si="73">G21+G51+G81+G111+G141+G171</f>
        <v>0</v>
      </c>
      <c r="H203" s="5">
        <f t="shared" si="73"/>
        <v>0</v>
      </c>
      <c r="I203" s="5">
        <f t="shared" si="73"/>
        <v>0</v>
      </c>
      <c r="J203" s="5">
        <f t="shared" si="73"/>
        <v>0</v>
      </c>
      <c r="K203" s="5">
        <f t="shared" si="73"/>
        <v>0</v>
      </c>
      <c r="L203" s="5">
        <f t="shared" si="73"/>
        <v>0</v>
      </c>
      <c r="M203" s="5">
        <f t="shared" si="73"/>
        <v>0</v>
      </c>
      <c r="N203" s="5">
        <f t="shared" si="73"/>
        <v>0</v>
      </c>
      <c r="O203" s="5">
        <f t="shared" si="73"/>
        <v>0</v>
      </c>
      <c r="P203" s="5">
        <f t="shared" si="73"/>
        <v>0</v>
      </c>
      <c r="Q203" s="5">
        <f t="shared" si="73"/>
        <v>0</v>
      </c>
      <c r="R203" s="5">
        <f t="shared" si="73"/>
        <v>0</v>
      </c>
      <c r="S203" s="5">
        <f t="shared" si="56"/>
        <v>0</v>
      </c>
    </row>
    <row r="204" spans="4:19" x14ac:dyDescent="0.35">
      <c r="D204" t="s">
        <v>100</v>
      </c>
      <c r="E204">
        <v>1003004</v>
      </c>
      <c r="F204" t="s">
        <v>75</v>
      </c>
      <c r="G204" s="5">
        <f t="shared" ref="G204:R204" si="74">G22+G52+G82+G112+G142+G172</f>
        <v>1088.7096774193546</v>
      </c>
      <c r="H204" s="5">
        <f t="shared" si="74"/>
        <v>1205.3571428571429</v>
      </c>
      <c r="I204" s="5">
        <f t="shared" si="74"/>
        <v>1088.7096774193546</v>
      </c>
      <c r="J204" s="5">
        <f t="shared" si="74"/>
        <v>1125</v>
      </c>
      <c r="K204" s="5">
        <f t="shared" si="74"/>
        <v>1088.7096774193546</v>
      </c>
      <c r="L204" s="5">
        <f t="shared" si="74"/>
        <v>1125</v>
      </c>
      <c r="M204" s="5">
        <f t="shared" si="74"/>
        <v>1088.7096774193546</v>
      </c>
      <c r="N204" s="5">
        <f t="shared" si="74"/>
        <v>1088.7096774193546</v>
      </c>
      <c r="O204" s="5">
        <f t="shared" si="74"/>
        <v>1125</v>
      </c>
      <c r="P204" s="5">
        <f t="shared" si="74"/>
        <v>1088.7096774193546</v>
      </c>
      <c r="Q204" s="5">
        <f t="shared" si="74"/>
        <v>1125</v>
      </c>
      <c r="R204" s="5">
        <f t="shared" si="74"/>
        <v>1088.7096774193546</v>
      </c>
      <c r="S204" s="5">
        <f t="shared" si="56"/>
        <v>13326.324884792622</v>
      </c>
    </row>
    <row r="205" spans="4:19" x14ac:dyDescent="0.35">
      <c r="D205" t="s">
        <v>100</v>
      </c>
      <c r="E205">
        <v>1003005</v>
      </c>
      <c r="F205" t="s">
        <v>76</v>
      </c>
      <c r="G205" s="5">
        <f t="shared" ref="G205:R205" si="75">G23+G53+G83+G113+G143+G173</f>
        <v>4354.8387096774186</v>
      </c>
      <c r="H205" s="5">
        <f t="shared" si="75"/>
        <v>4821.4285714285716</v>
      </c>
      <c r="I205" s="5">
        <f t="shared" si="75"/>
        <v>4354.8387096774186</v>
      </c>
      <c r="J205" s="5">
        <f t="shared" si="75"/>
        <v>4500</v>
      </c>
      <c r="K205" s="5">
        <f t="shared" si="75"/>
        <v>4354.8387096774186</v>
      </c>
      <c r="L205" s="5">
        <f t="shared" si="75"/>
        <v>4500</v>
      </c>
      <c r="M205" s="5">
        <f t="shared" si="75"/>
        <v>4354.8387096774186</v>
      </c>
      <c r="N205" s="5">
        <f t="shared" si="75"/>
        <v>4354.8387096774186</v>
      </c>
      <c r="O205" s="5">
        <f t="shared" si="75"/>
        <v>4500</v>
      </c>
      <c r="P205" s="5">
        <f t="shared" si="75"/>
        <v>4354.8387096774186</v>
      </c>
      <c r="Q205" s="5">
        <f t="shared" si="75"/>
        <v>4500</v>
      </c>
      <c r="R205" s="5">
        <f t="shared" si="75"/>
        <v>4354.8387096774186</v>
      </c>
      <c r="S205" s="5">
        <f t="shared" si="56"/>
        <v>53305.29953917049</v>
      </c>
    </row>
    <row r="206" spans="4:19" x14ac:dyDescent="0.35">
      <c r="D206" t="s">
        <v>100</v>
      </c>
      <c r="E206">
        <v>1003006</v>
      </c>
      <c r="F206" t="s">
        <v>78</v>
      </c>
      <c r="G206" s="5">
        <f t="shared" ref="G206:R206" si="76">G24+G54+G84+G114+G144+G174</f>
        <v>22664.880000000001</v>
      </c>
      <c r="H206" s="5">
        <f t="shared" si="76"/>
        <v>22664.880000000001</v>
      </c>
      <c r="I206" s="5">
        <f t="shared" si="76"/>
        <v>22664.880000000001</v>
      </c>
      <c r="J206" s="5">
        <f t="shared" si="76"/>
        <v>22664.880000000001</v>
      </c>
      <c r="K206" s="5">
        <f t="shared" si="76"/>
        <v>22664.880000000001</v>
      </c>
      <c r="L206" s="5">
        <f t="shared" si="76"/>
        <v>22664.880000000001</v>
      </c>
      <c r="M206" s="5">
        <f t="shared" si="76"/>
        <v>22664.880000000001</v>
      </c>
      <c r="N206" s="5">
        <f t="shared" si="76"/>
        <v>22664.880000000001</v>
      </c>
      <c r="O206" s="5">
        <f t="shared" si="76"/>
        <v>22664.880000000001</v>
      </c>
      <c r="P206" s="5">
        <f t="shared" si="76"/>
        <v>22664.880000000001</v>
      </c>
      <c r="Q206" s="5">
        <f t="shared" si="76"/>
        <v>22664.880000000001</v>
      </c>
      <c r="R206" s="5">
        <f t="shared" si="76"/>
        <v>22664.880000000001</v>
      </c>
      <c r="S206" s="5">
        <f t="shared" si="56"/>
        <v>271978.56</v>
      </c>
    </row>
    <row r="207" spans="4:19" x14ac:dyDescent="0.35">
      <c r="D207" t="s">
        <v>100</v>
      </c>
      <c r="E207">
        <v>1003007</v>
      </c>
      <c r="F207" t="s">
        <v>79</v>
      </c>
      <c r="G207" s="5">
        <f t="shared" ref="G207:R207" si="77">G25+G55+G85+G115+G145+G175</f>
        <v>5099.597999999999</v>
      </c>
      <c r="H207" s="5">
        <f t="shared" si="77"/>
        <v>5099.597999999999</v>
      </c>
      <c r="I207" s="5">
        <f t="shared" si="77"/>
        <v>5099.597999999999</v>
      </c>
      <c r="J207" s="5">
        <f t="shared" si="77"/>
        <v>5099.597999999999</v>
      </c>
      <c r="K207" s="5">
        <f t="shared" si="77"/>
        <v>5099.597999999999</v>
      </c>
      <c r="L207" s="5">
        <f t="shared" si="77"/>
        <v>5099.597999999999</v>
      </c>
      <c r="M207" s="5">
        <f t="shared" si="77"/>
        <v>5099.597999999999</v>
      </c>
      <c r="N207" s="5">
        <f t="shared" si="77"/>
        <v>5099.597999999999</v>
      </c>
      <c r="O207" s="5">
        <f t="shared" si="77"/>
        <v>5099.597999999999</v>
      </c>
      <c r="P207" s="5">
        <f t="shared" si="77"/>
        <v>5099.597999999999</v>
      </c>
      <c r="Q207" s="5">
        <f t="shared" si="77"/>
        <v>5099.597999999999</v>
      </c>
      <c r="R207" s="5">
        <f t="shared" si="77"/>
        <v>5099.597999999999</v>
      </c>
      <c r="S207" s="5">
        <f t="shared" si="56"/>
        <v>61195.175999999985</v>
      </c>
    </row>
    <row r="208" spans="4:19" x14ac:dyDescent="0.35">
      <c r="D208" t="s">
        <v>100</v>
      </c>
      <c r="E208">
        <v>1003008</v>
      </c>
      <c r="F208" t="s">
        <v>81</v>
      </c>
      <c r="G208" s="5">
        <f t="shared" ref="G208:R208" si="78">G26+G56+G86+G116+G146+G176</f>
        <v>5666.22</v>
      </c>
      <c r="H208" s="5">
        <f t="shared" si="78"/>
        <v>5666.22</v>
      </c>
      <c r="I208" s="5">
        <f t="shared" si="78"/>
        <v>5666.22</v>
      </c>
      <c r="J208" s="5">
        <f t="shared" si="78"/>
        <v>5666.22</v>
      </c>
      <c r="K208" s="5">
        <f t="shared" si="78"/>
        <v>5666.22</v>
      </c>
      <c r="L208" s="5">
        <f t="shared" si="78"/>
        <v>5666.22</v>
      </c>
      <c r="M208" s="5">
        <f t="shared" si="78"/>
        <v>5666.22</v>
      </c>
      <c r="N208" s="5">
        <f t="shared" si="78"/>
        <v>5666.22</v>
      </c>
      <c r="O208" s="5">
        <f t="shared" si="78"/>
        <v>5666.22</v>
      </c>
      <c r="P208" s="5">
        <f t="shared" si="78"/>
        <v>5666.22</v>
      </c>
      <c r="Q208" s="5">
        <f t="shared" si="78"/>
        <v>5666.22</v>
      </c>
      <c r="R208" s="5">
        <f t="shared" si="78"/>
        <v>5666.22</v>
      </c>
      <c r="S208" s="5">
        <f t="shared" si="56"/>
        <v>67994.64</v>
      </c>
    </row>
    <row r="209" spans="1:20" x14ac:dyDescent="0.35">
      <c r="D209" t="s">
        <v>100</v>
      </c>
      <c r="E209">
        <v>1003009</v>
      </c>
      <c r="F209" t="s">
        <v>80</v>
      </c>
      <c r="G209" s="5">
        <f t="shared" ref="G209:R209" si="79">G27+G57+G87+G117+G147+G177</f>
        <v>3399.732</v>
      </c>
      <c r="H209" s="5">
        <f t="shared" si="79"/>
        <v>3399.732</v>
      </c>
      <c r="I209" s="5">
        <f t="shared" si="79"/>
        <v>3399.732</v>
      </c>
      <c r="J209" s="5">
        <f t="shared" si="79"/>
        <v>3399.732</v>
      </c>
      <c r="K209" s="5">
        <f t="shared" si="79"/>
        <v>3399.732</v>
      </c>
      <c r="L209" s="5">
        <f t="shared" si="79"/>
        <v>3399.732</v>
      </c>
      <c r="M209" s="5">
        <f t="shared" si="79"/>
        <v>3399.732</v>
      </c>
      <c r="N209" s="5">
        <f t="shared" si="79"/>
        <v>3399.732</v>
      </c>
      <c r="O209" s="5">
        <f t="shared" si="79"/>
        <v>3399.732</v>
      </c>
      <c r="P209" s="5">
        <f t="shared" si="79"/>
        <v>3399.732</v>
      </c>
      <c r="Q209" s="5">
        <f t="shared" si="79"/>
        <v>3399.732</v>
      </c>
      <c r="R209" s="5">
        <f t="shared" si="79"/>
        <v>3399.732</v>
      </c>
      <c r="S209" s="5">
        <f t="shared" si="56"/>
        <v>40796.784</v>
      </c>
    </row>
    <row r="210" spans="1:20" x14ac:dyDescent="0.35">
      <c r="D210" t="s">
        <v>100</v>
      </c>
      <c r="E210">
        <v>1003101</v>
      </c>
      <c r="F210" t="s">
        <v>89</v>
      </c>
      <c r="G210" s="5">
        <f t="shared" ref="G210:R210" si="80">G28+G58+G88+G118+G148+G178</f>
        <v>45000</v>
      </c>
      <c r="H210" s="5">
        <f t="shared" si="80"/>
        <v>45000</v>
      </c>
      <c r="I210" s="5">
        <f t="shared" si="80"/>
        <v>45000</v>
      </c>
      <c r="J210" s="5">
        <f t="shared" si="80"/>
        <v>45000</v>
      </c>
      <c r="K210" s="5">
        <f t="shared" si="80"/>
        <v>45000</v>
      </c>
      <c r="L210" s="5">
        <f t="shared" si="80"/>
        <v>45000</v>
      </c>
      <c r="M210" s="5">
        <f t="shared" si="80"/>
        <v>45000</v>
      </c>
      <c r="N210" s="5">
        <f t="shared" si="80"/>
        <v>45000</v>
      </c>
      <c r="O210" s="5">
        <f t="shared" si="80"/>
        <v>45000</v>
      </c>
      <c r="P210" s="5">
        <f t="shared" si="80"/>
        <v>45000</v>
      </c>
      <c r="Q210" s="5">
        <f t="shared" si="80"/>
        <v>45000</v>
      </c>
      <c r="R210" s="5">
        <f t="shared" si="80"/>
        <v>45000</v>
      </c>
      <c r="S210" s="5">
        <f t="shared" si="56"/>
        <v>540000</v>
      </c>
    </row>
    <row r="211" spans="1:20" x14ac:dyDescent="0.35">
      <c r="D211" t="s">
        <v>100</v>
      </c>
      <c r="E211">
        <v>1003102</v>
      </c>
      <c r="F211" t="s">
        <v>90</v>
      </c>
      <c r="G211" s="5">
        <f t="shared" ref="G211:R211" si="81">G29+G59+G89+G119+G149+G179</f>
        <v>750</v>
      </c>
      <c r="H211" s="5">
        <f t="shared" si="81"/>
        <v>750</v>
      </c>
      <c r="I211" s="5">
        <f t="shared" si="81"/>
        <v>750</v>
      </c>
      <c r="J211" s="5">
        <f t="shared" si="81"/>
        <v>750</v>
      </c>
      <c r="K211" s="5">
        <f t="shared" si="81"/>
        <v>750</v>
      </c>
      <c r="L211" s="5">
        <f t="shared" si="81"/>
        <v>750</v>
      </c>
      <c r="M211" s="5">
        <f t="shared" si="81"/>
        <v>750</v>
      </c>
      <c r="N211" s="5">
        <f t="shared" si="81"/>
        <v>750</v>
      </c>
      <c r="O211" s="5">
        <f t="shared" si="81"/>
        <v>750</v>
      </c>
      <c r="P211" s="5">
        <f t="shared" si="81"/>
        <v>750</v>
      </c>
      <c r="Q211" s="5">
        <f t="shared" si="81"/>
        <v>750</v>
      </c>
      <c r="R211" s="5">
        <f t="shared" si="81"/>
        <v>750</v>
      </c>
      <c r="S211" s="5">
        <f t="shared" si="56"/>
        <v>9000</v>
      </c>
    </row>
    <row r="212" spans="1:20" x14ac:dyDescent="0.35">
      <c r="D212" t="s">
        <v>100</v>
      </c>
      <c r="E212">
        <v>1003103</v>
      </c>
      <c r="F212" t="s">
        <v>91</v>
      </c>
      <c r="G212" s="5">
        <f t="shared" ref="G212:R212" si="82">G30+G60+G90+G120+G150+G180</f>
        <v>525</v>
      </c>
      <c r="H212" s="5">
        <f t="shared" si="82"/>
        <v>525</v>
      </c>
      <c r="I212" s="5">
        <f t="shared" si="82"/>
        <v>525</v>
      </c>
      <c r="J212" s="5">
        <f t="shared" si="82"/>
        <v>525</v>
      </c>
      <c r="K212" s="5">
        <f t="shared" si="82"/>
        <v>525</v>
      </c>
      <c r="L212" s="5">
        <f t="shared" si="82"/>
        <v>525</v>
      </c>
      <c r="M212" s="5">
        <f t="shared" si="82"/>
        <v>525</v>
      </c>
      <c r="N212" s="5">
        <f t="shared" si="82"/>
        <v>525</v>
      </c>
      <c r="O212" s="5">
        <f t="shared" si="82"/>
        <v>525</v>
      </c>
      <c r="P212" s="5">
        <f t="shared" si="82"/>
        <v>525</v>
      </c>
      <c r="Q212" s="5">
        <f t="shared" si="82"/>
        <v>525</v>
      </c>
      <c r="R212" s="5">
        <f t="shared" si="82"/>
        <v>525</v>
      </c>
      <c r="S212" s="5">
        <f t="shared" si="56"/>
        <v>6300</v>
      </c>
    </row>
    <row r="213" spans="1:20" x14ac:dyDescent="0.35">
      <c r="D213" t="s">
        <v>100</v>
      </c>
      <c r="E213">
        <v>1003104</v>
      </c>
      <c r="F213" t="s">
        <v>92</v>
      </c>
      <c r="G213" s="5">
        <f t="shared" ref="G213:R213" si="83">G31+G61+G91+G121+G151+G181</f>
        <v>3600</v>
      </c>
      <c r="H213" s="5">
        <f t="shared" si="83"/>
        <v>3600</v>
      </c>
      <c r="I213" s="5">
        <f t="shared" si="83"/>
        <v>3600</v>
      </c>
      <c r="J213" s="5">
        <f t="shared" si="83"/>
        <v>3600</v>
      </c>
      <c r="K213" s="5">
        <f t="shared" si="83"/>
        <v>3600</v>
      </c>
      <c r="L213" s="5">
        <f t="shared" si="83"/>
        <v>3600</v>
      </c>
      <c r="M213" s="5">
        <f t="shared" si="83"/>
        <v>3600</v>
      </c>
      <c r="N213" s="5">
        <f t="shared" si="83"/>
        <v>3600</v>
      </c>
      <c r="O213" s="5">
        <f t="shared" si="83"/>
        <v>3600</v>
      </c>
      <c r="P213" s="5">
        <f t="shared" si="83"/>
        <v>3600</v>
      </c>
      <c r="Q213" s="5">
        <f t="shared" si="83"/>
        <v>3600</v>
      </c>
      <c r="R213" s="5">
        <f t="shared" si="83"/>
        <v>3600</v>
      </c>
      <c r="S213" s="5">
        <f t="shared" si="56"/>
        <v>43200</v>
      </c>
    </row>
    <row r="214" spans="1:20" x14ac:dyDescent="0.35">
      <c r="D214" t="s">
        <v>96</v>
      </c>
      <c r="G214" s="5">
        <f>SUM(G186:G213)</f>
        <v>562094.42263709661</v>
      </c>
      <c r="H214" s="5">
        <f t="shared" ref="H214:S214" si="84">SUM(H186:H213)</f>
        <v>537332.3347142858</v>
      </c>
      <c r="I214" s="5">
        <f t="shared" si="84"/>
        <v>562094.42263709661</v>
      </c>
      <c r="J214" s="5">
        <f t="shared" si="84"/>
        <v>553827.4325</v>
      </c>
      <c r="K214" s="5">
        <f t="shared" si="84"/>
        <v>562094.42263709661</v>
      </c>
      <c r="L214" s="5">
        <f t="shared" si="84"/>
        <v>553827.4325</v>
      </c>
      <c r="M214" s="5">
        <f t="shared" si="84"/>
        <v>562094.42263709661</v>
      </c>
      <c r="N214" s="5">
        <f t="shared" si="84"/>
        <v>562094.42263709661</v>
      </c>
      <c r="O214" s="5">
        <f t="shared" si="84"/>
        <v>553827.4325</v>
      </c>
      <c r="P214" s="5">
        <f t="shared" si="84"/>
        <v>562094.42263709661</v>
      </c>
      <c r="Q214" s="5">
        <f t="shared" si="84"/>
        <v>553827.4325</v>
      </c>
      <c r="R214" s="5">
        <f t="shared" si="84"/>
        <v>562094.42263709661</v>
      </c>
      <c r="S214" s="5">
        <f t="shared" si="84"/>
        <v>6687303.0231739618</v>
      </c>
    </row>
    <row r="217" spans="1:20" x14ac:dyDescent="0.35">
      <c r="D217" t="s">
        <v>101</v>
      </c>
      <c r="G217" s="5">
        <f t="shared" ref="G217:S217" si="85">SUM(G186:G194)</f>
        <v>271745.44424999994</v>
      </c>
      <c r="H217" s="5">
        <f t="shared" si="85"/>
        <v>246400.11900000001</v>
      </c>
      <c r="I217" s="5">
        <f t="shared" si="85"/>
        <v>271745.44424999994</v>
      </c>
      <c r="J217" s="5">
        <f t="shared" si="85"/>
        <v>263297.0025</v>
      </c>
      <c r="K217" s="5">
        <f t="shared" si="85"/>
        <v>271745.44424999994</v>
      </c>
      <c r="L217" s="5">
        <f t="shared" si="85"/>
        <v>263297.0025</v>
      </c>
      <c r="M217" s="5">
        <f t="shared" si="85"/>
        <v>271745.44424999994</v>
      </c>
      <c r="N217" s="5">
        <f t="shared" si="85"/>
        <v>271745.44424999994</v>
      </c>
      <c r="O217" s="5">
        <f t="shared" si="85"/>
        <v>263297.0025</v>
      </c>
      <c r="P217" s="5">
        <f t="shared" si="85"/>
        <v>271745.44424999994</v>
      </c>
      <c r="Q217" s="5">
        <f t="shared" si="85"/>
        <v>263297.0025</v>
      </c>
      <c r="R217" s="5">
        <f t="shared" si="85"/>
        <v>271745.44424999994</v>
      </c>
      <c r="S217" s="5">
        <f t="shared" si="85"/>
        <v>3201806.23875</v>
      </c>
    </row>
    <row r="218" spans="1:20" x14ac:dyDescent="0.35">
      <c r="D218" t="s">
        <v>102</v>
      </c>
      <c r="G218" s="5">
        <f t="shared" ref="G218:S218" si="86">SUM(G195:G200)</f>
        <v>90200</v>
      </c>
      <c r="H218" s="5">
        <f t="shared" si="86"/>
        <v>90200</v>
      </c>
      <c r="I218" s="5">
        <f t="shared" si="86"/>
        <v>90200</v>
      </c>
      <c r="J218" s="5">
        <f t="shared" si="86"/>
        <v>90200</v>
      </c>
      <c r="K218" s="5">
        <f t="shared" si="86"/>
        <v>90200</v>
      </c>
      <c r="L218" s="5">
        <f t="shared" si="86"/>
        <v>90200</v>
      </c>
      <c r="M218" s="5">
        <f t="shared" si="86"/>
        <v>90200</v>
      </c>
      <c r="N218" s="5">
        <f t="shared" si="86"/>
        <v>90200</v>
      </c>
      <c r="O218" s="5">
        <f t="shared" si="86"/>
        <v>90200</v>
      </c>
      <c r="P218" s="5">
        <f t="shared" si="86"/>
        <v>90200</v>
      </c>
      <c r="Q218" s="5">
        <f t="shared" si="86"/>
        <v>90200</v>
      </c>
      <c r="R218" s="5">
        <f t="shared" si="86"/>
        <v>90200</v>
      </c>
      <c r="S218" s="5">
        <f t="shared" si="86"/>
        <v>1082400</v>
      </c>
    </row>
    <row r="219" spans="1:20" x14ac:dyDescent="0.35">
      <c r="D219" t="s">
        <v>100</v>
      </c>
      <c r="G219" s="5">
        <f t="shared" ref="G219:S219" si="87">SUM(G201:G213)</f>
        <v>200148.97838709675</v>
      </c>
      <c r="H219" s="5">
        <f t="shared" si="87"/>
        <v>200732.2157142857</v>
      </c>
      <c r="I219" s="5">
        <f t="shared" si="87"/>
        <v>200148.97838709675</v>
      </c>
      <c r="J219" s="5">
        <f t="shared" si="87"/>
        <v>200330.43</v>
      </c>
      <c r="K219" s="5">
        <f t="shared" si="87"/>
        <v>200148.97838709675</v>
      </c>
      <c r="L219" s="5">
        <f t="shared" si="87"/>
        <v>200330.43</v>
      </c>
      <c r="M219" s="5">
        <f t="shared" si="87"/>
        <v>200148.97838709675</v>
      </c>
      <c r="N219" s="5">
        <f t="shared" si="87"/>
        <v>200148.97838709675</v>
      </c>
      <c r="O219" s="5">
        <f t="shared" si="87"/>
        <v>200330.43</v>
      </c>
      <c r="P219" s="5">
        <f t="shared" si="87"/>
        <v>200148.97838709675</v>
      </c>
      <c r="Q219" s="5">
        <f t="shared" si="87"/>
        <v>200330.43</v>
      </c>
      <c r="R219" s="5">
        <f t="shared" si="87"/>
        <v>200148.97838709675</v>
      </c>
      <c r="S219" s="5">
        <f t="shared" si="87"/>
        <v>2403096.7844239632</v>
      </c>
    </row>
    <row r="220" spans="1:20" x14ac:dyDescent="0.35">
      <c r="D220" t="s">
        <v>96</v>
      </c>
      <c r="G220" s="5">
        <f>SUM(G217:G219)</f>
        <v>562094.42263709672</v>
      </c>
      <c r="H220" s="5">
        <f t="shared" ref="H220:S220" si="88">SUM(H217:H219)</f>
        <v>537332.33471428568</v>
      </c>
      <c r="I220" s="5">
        <f t="shared" si="88"/>
        <v>562094.42263709672</v>
      </c>
      <c r="J220" s="5">
        <f t="shared" si="88"/>
        <v>553827.4325</v>
      </c>
      <c r="K220" s="5">
        <f t="shared" si="88"/>
        <v>562094.42263709672</v>
      </c>
      <c r="L220" s="5">
        <f t="shared" si="88"/>
        <v>553827.4325</v>
      </c>
      <c r="M220" s="5">
        <f t="shared" si="88"/>
        <v>562094.42263709672</v>
      </c>
      <c r="N220" s="5">
        <f t="shared" si="88"/>
        <v>562094.42263709672</v>
      </c>
      <c r="O220" s="5">
        <f t="shared" si="88"/>
        <v>553827.4325</v>
      </c>
      <c r="P220" s="5">
        <f t="shared" si="88"/>
        <v>562094.42263709672</v>
      </c>
      <c r="Q220" s="5">
        <f t="shared" si="88"/>
        <v>553827.4325</v>
      </c>
      <c r="R220" s="5">
        <f t="shared" si="88"/>
        <v>562094.42263709672</v>
      </c>
      <c r="S220" s="5">
        <f t="shared" si="88"/>
        <v>6687303.0231739627</v>
      </c>
    </row>
    <row r="224" spans="1:20" ht="6" customHeight="1" x14ac:dyDescent="0.3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</row>
    <row r="226" spans="2:19" x14ac:dyDescent="0.35">
      <c r="D226" t="s">
        <v>164</v>
      </c>
    </row>
    <row r="227" spans="2:19" x14ac:dyDescent="0.35">
      <c r="D227">
        <v>100</v>
      </c>
      <c r="E227" t="s">
        <v>157</v>
      </c>
      <c r="G227" s="4">
        <v>0.5</v>
      </c>
      <c r="H227" s="4">
        <v>0.5</v>
      </c>
      <c r="I227" s="4">
        <v>0.5</v>
      </c>
      <c r="J227" s="4">
        <v>0.5</v>
      </c>
      <c r="K227" s="4">
        <v>0.5</v>
      </c>
      <c r="L227" s="4">
        <v>0.5</v>
      </c>
      <c r="M227" s="4">
        <v>0.5</v>
      </c>
      <c r="N227" s="4">
        <v>0.5</v>
      </c>
      <c r="O227" s="4">
        <v>0.5</v>
      </c>
      <c r="P227" s="4">
        <v>0.5</v>
      </c>
      <c r="Q227" s="4">
        <v>0.5</v>
      </c>
      <c r="R227" s="4">
        <v>0.5</v>
      </c>
      <c r="S227" s="4">
        <v>0.5</v>
      </c>
    </row>
    <row r="228" spans="2:19" x14ac:dyDescent="0.35">
      <c r="D228">
        <v>110</v>
      </c>
      <c r="E228" t="s">
        <v>158</v>
      </c>
      <c r="G228" s="4">
        <v>0.25</v>
      </c>
      <c r="H228" s="4">
        <v>0.25</v>
      </c>
      <c r="I228" s="4">
        <v>0.25</v>
      </c>
      <c r="J228" s="4">
        <v>0.25</v>
      </c>
      <c r="K228" s="4">
        <v>0.25</v>
      </c>
      <c r="L228" s="4">
        <v>0.25</v>
      </c>
      <c r="M228" s="4">
        <v>0.25</v>
      </c>
      <c r="N228" s="4">
        <v>0.25</v>
      </c>
      <c r="O228" s="4">
        <v>0.25</v>
      </c>
      <c r="P228" s="4">
        <v>0.25</v>
      </c>
      <c r="Q228" s="4">
        <v>0.25</v>
      </c>
      <c r="R228" s="4">
        <v>0.25</v>
      </c>
      <c r="S228" s="4">
        <v>0.25</v>
      </c>
    </row>
    <row r="229" spans="2:19" x14ac:dyDescent="0.35">
      <c r="D229">
        <v>120</v>
      </c>
      <c r="E229" t="s">
        <v>159</v>
      </c>
      <c r="G229" s="4">
        <v>0.25</v>
      </c>
      <c r="H229" s="4">
        <v>0.25</v>
      </c>
      <c r="I229" s="4">
        <v>0.25</v>
      </c>
      <c r="J229" s="4">
        <v>0.25</v>
      </c>
      <c r="K229" s="4">
        <v>0.25</v>
      </c>
      <c r="L229" s="4">
        <v>0.25</v>
      </c>
      <c r="M229" s="4">
        <v>0.25</v>
      </c>
      <c r="N229" s="4">
        <v>0.25</v>
      </c>
      <c r="O229" s="4">
        <v>0.25</v>
      </c>
      <c r="P229" s="4">
        <v>0.25</v>
      </c>
      <c r="Q229" s="4">
        <v>0.25</v>
      </c>
      <c r="R229" s="4">
        <v>0.25</v>
      </c>
      <c r="S229" s="4">
        <v>0.25</v>
      </c>
    </row>
    <row r="230" spans="2:19" x14ac:dyDescent="0.35">
      <c r="G230" s="4">
        <f>SUM(G227:G229)</f>
        <v>1</v>
      </c>
      <c r="H230" s="4">
        <f t="shared" ref="H230:S230" si="89">SUM(H227:H229)</f>
        <v>1</v>
      </c>
      <c r="I230" s="4">
        <f t="shared" si="89"/>
        <v>1</v>
      </c>
      <c r="J230" s="4">
        <f t="shared" si="89"/>
        <v>1</v>
      </c>
      <c r="K230" s="4">
        <f t="shared" si="89"/>
        <v>1</v>
      </c>
      <c r="L230" s="4">
        <f t="shared" si="89"/>
        <v>1</v>
      </c>
      <c r="M230" s="4">
        <f t="shared" si="89"/>
        <v>1</v>
      </c>
      <c r="N230" s="4">
        <f t="shared" si="89"/>
        <v>1</v>
      </c>
      <c r="O230" s="4">
        <f t="shared" si="89"/>
        <v>1</v>
      </c>
      <c r="P230" s="4">
        <f t="shared" si="89"/>
        <v>1</v>
      </c>
      <c r="Q230" s="4">
        <f t="shared" si="89"/>
        <v>1</v>
      </c>
      <c r="R230" s="4">
        <f t="shared" si="89"/>
        <v>1</v>
      </c>
      <c r="S230" s="4">
        <f t="shared" si="89"/>
        <v>1</v>
      </c>
    </row>
    <row r="233" spans="2:19" x14ac:dyDescent="0.35">
      <c r="B233" t="s">
        <v>46</v>
      </c>
      <c r="C233" t="s">
        <v>95</v>
      </c>
      <c r="D233" t="s">
        <v>97</v>
      </c>
      <c r="E233" t="s">
        <v>93</v>
      </c>
      <c r="F233" t="s">
        <v>94</v>
      </c>
      <c r="G233" t="s">
        <v>103</v>
      </c>
      <c r="H233" t="s">
        <v>104</v>
      </c>
      <c r="I233" t="s">
        <v>105</v>
      </c>
      <c r="J233" t="s">
        <v>106</v>
      </c>
      <c r="K233" t="s">
        <v>107</v>
      </c>
      <c r="L233" t="s">
        <v>108</v>
      </c>
      <c r="M233" t="s">
        <v>109</v>
      </c>
      <c r="N233" t="s">
        <v>110</v>
      </c>
      <c r="O233" t="s">
        <v>111</v>
      </c>
      <c r="P233" t="s">
        <v>112</v>
      </c>
      <c r="Q233" t="s">
        <v>113</v>
      </c>
      <c r="R233" t="s">
        <v>114</v>
      </c>
      <c r="S233" t="s">
        <v>17</v>
      </c>
    </row>
    <row r="234" spans="2:19" x14ac:dyDescent="0.35">
      <c r="B234">
        <v>100</v>
      </c>
      <c r="C234" t="s">
        <v>157</v>
      </c>
      <c r="D234" t="s">
        <v>101</v>
      </c>
      <c r="E234">
        <v>1001001</v>
      </c>
      <c r="F234" t="s">
        <v>73</v>
      </c>
      <c r="G234" s="13">
        <f>G4+((G94+G124+G154)*$G$227)</f>
        <v>78120</v>
      </c>
      <c r="H234" s="13">
        <f t="shared" ref="H234:H261" si="90">H4+((H94+H124+H154)*$H$227)</f>
        <v>70560</v>
      </c>
      <c r="I234" s="13">
        <f t="shared" ref="I234:I261" si="91">I4+((I94+I124+I154)*$I$227)</f>
        <v>78120</v>
      </c>
      <c r="J234" s="13">
        <f t="shared" ref="J234:J261" si="92">J4+((J94+J124+J154)*$J$227)</f>
        <v>75600</v>
      </c>
      <c r="K234" s="13">
        <f t="shared" ref="K234:K261" si="93">K4+((K94+K124+K154)*$K$227)</f>
        <v>78120</v>
      </c>
      <c r="L234" s="13">
        <f t="shared" ref="L234:L261" si="94">L4+((L94+L124+L154)*$L$227)</f>
        <v>75600</v>
      </c>
      <c r="M234" s="13">
        <f t="shared" ref="M234:M261" si="95">M4+((M94+M124+M154)*$M$227)</f>
        <v>78120</v>
      </c>
      <c r="N234" s="13">
        <f t="shared" ref="N234:N261" si="96">N4+((N94+N124+N154)*$N$227)</f>
        <v>78120</v>
      </c>
      <c r="O234" s="13">
        <f t="shared" ref="O234:O261" si="97">O4+((O94+O124+O154)*$O$227)</f>
        <v>75600</v>
      </c>
      <c r="P234" s="13">
        <f t="shared" ref="P234:P261" si="98">P4+((P94+P124+P154)*$P$227)</f>
        <v>78120</v>
      </c>
      <c r="Q234" s="13">
        <f t="shared" ref="Q234:Q261" si="99">Q4+((Q94+Q124+Q154)*$Q$227)</f>
        <v>75600</v>
      </c>
      <c r="R234" s="13">
        <f t="shared" ref="R234:R261" si="100">R4+((R94+R124+R154)*$R$227)</f>
        <v>78120</v>
      </c>
      <c r="S234" s="13">
        <f>SUM(G234:R234)</f>
        <v>919800</v>
      </c>
    </row>
    <row r="235" spans="2:19" x14ac:dyDescent="0.35">
      <c r="B235">
        <v>100</v>
      </c>
      <c r="C235" t="s">
        <v>157</v>
      </c>
      <c r="D235" t="s">
        <v>101</v>
      </c>
      <c r="E235">
        <v>1001002</v>
      </c>
      <c r="F235" t="s">
        <v>74</v>
      </c>
      <c r="G235" s="13">
        <f t="shared" ref="G234:G261" si="101">G5+((G95+G125+G155)*$G$227)</f>
        <v>0</v>
      </c>
      <c r="H235" s="13">
        <f t="shared" si="90"/>
        <v>0</v>
      </c>
      <c r="I235" s="13">
        <f t="shared" si="91"/>
        <v>0</v>
      </c>
      <c r="J235" s="13">
        <f t="shared" si="92"/>
        <v>0</v>
      </c>
      <c r="K235" s="13">
        <f t="shared" si="93"/>
        <v>0</v>
      </c>
      <c r="L235" s="13">
        <f t="shared" si="94"/>
        <v>0</v>
      </c>
      <c r="M235" s="13">
        <f t="shared" si="95"/>
        <v>0</v>
      </c>
      <c r="N235" s="13">
        <f t="shared" si="96"/>
        <v>0</v>
      </c>
      <c r="O235" s="13">
        <f t="shared" si="97"/>
        <v>0</v>
      </c>
      <c r="P235" s="13">
        <f t="shared" si="98"/>
        <v>0</v>
      </c>
      <c r="Q235" s="13">
        <f t="shared" si="99"/>
        <v>0</v>
      </c>
      <c r="R235" s="13">
        <f t="shared" si="100"/>
        <v>0</v>
      </c>
      <c r="S235" s="5">
        <f t="shared" ref="S235:S261" si="102">SUM(G235:R235)</f>
        <v>0</v>
      </c>
    </row>
    <row r="236" spans="2:19" x14ac:dyDescent="0.35">
      <c r="B236">
        <v>100</v>
      </c>
      <c r="C236" t="s">
        <v>157</v>
      </c>
      <c r="D236" t="s">
        <v>101</v>
      </c>
      <c r="E236">
        <v>1001003</v>
      </c>
      <c r="F236" t="s">
        <v>77</v>
      </c>
      <c r="G236" s="13">
        <f t="shared" si="101"/>
        <v>0</v>
      </c>
      <c r="H236" s="13">
        <f t="shared" si="90"/>
        <v>0</v>
      </c>
      <c r="I236" s="13">
        <f t="shared" si="91"/>
        <v>0</v>
      </c>
      <c r="J236" s="13">
        <f t="shared" si="92"/>
        <v>0</v>
      </c>
      <c r="K236" s="13">
        <f t="shared" si="93"/>
        <v>0</v>
      </c>
      <c r="L236" s="13">
        <f t="shared" si="94"/>
        <v>0</v>
      </c>
      <c r="M236" s="13">
        <f t="shared" si="95"/>
        <v>0</v>
      </c>
      <c r="N236" s="13">
        <f t="shared" si="96"/>
        <v>0</v>
      </c>
      <c r="O236" s="13">
        <f t="shared" si="97"/>
        <v>0</v>
      </c>
      <c r="P236" s="13">
        <f t="shared" si="98"/>
        <v>0</v>
      </c>
      <c r="Q236" s="13">
        <f t="shared" si="99"/>
        <v>0</v>
      </c>
      <c r="R236" s="13">
        <f t="shared" si="100"/>
        <v>0</v>
      </c>
      <c r="S236" s="5">
        <f t="shared" si="102"/>
        <v>0</v>
      </c>
    </row>
    <row r="237" spans="2:19" x14ac:dyDescent="0.35">
      <c r="B237">
        <v>100</v>
      </c>
      <c r="C237" t="s">
        <v>157</v>
      </c>
      <c r="D237" t="s">
        <v>101</v>
      </c>
      <c r="E237">
        <v>1001004</v>
      </c>
      <c r="F237" t="s">
        <v>75</v>
      </c>
      <c r="G237" s="13">
        <f t="shared" si="101"/>
        <v>787.5</v>
      </c>
      <c r="H237" s="13">
        <f t="shared" si="90"/>
        <v>787.5</v>
      </c>
      <c r="I237" s="13">
        <f t="shared" si="91"/>
        <v>787.5</v>
      </c>
      <c r="J237" s="13">
        <f t="shared" si="92"/>
        <v>787.5</v>
      </c>
      <c r="K237" s="13">
        <f t="shared" si="93"/>
        <v>787.5</v>
      </c>
      <c r="L237" s="13">
        <f t="shared" si="94"/>
        <v>787.5</v>
      </c>
      <c r="M237" s="13">
        <f t="shared" si="95"/>
        <v>787.5</v>
      </c>
      <c r="N237" s="13">
        <f t="shared" si="96"/>
        <v>787.5</v>
      </c>
      <c r="O237" s="13">
        <f t="shared" si="97"/>
        <v>787.5</v>
      </c>
      <c r="P237" s="13">
        <f t="shared" si="98"/>
        <v>787.5</v>
      </c>
      <c r="Q237" s="13">
        <f t="shared" si="99"/>
        <v>787.5</v>
      </c>
      <c r="R237" s="13">
        <f t="shared" si="100"/>
        <v>787.5</v>
      </c>
      <c r="S237" s="5">
        <f t="shared" si="102"/>
        <v>9450</v>
      </c>
    </row>
    <row r="238" spans="2:19" x14ac:dyDescent="0.35">
      <c r="B238">
        <v>100</v>
      </c>
      <c r="C238" t="s">
        <v>157</v>
      </c>
      <c r="D238" t="s">
        <v>101</v>
      </c>
      <c r="E238">
        <v>1001005</v>
      </c>
      <c r="F238" t="s">
        <v>76</v>
      </c>
      <c r="G238" s="13">
        <f t="shared" si="101"/>
        <v>3150</v>
      </c>
      <c r="H238" s="13">
        <f t="shared" si="90"/>
        <v>3150</v>
      </c>
      <c r="I238" s="13">
        <f t="shared" si="91"/>
        <v>3150</v>
      </c>
      <c r="J238" s="13">
        <f t="shared" si="92"/>
        <v>3150</v>
      </c>
      <c r="K238" s="13">
        <f t="shared" si="93"/>
        <v>3150</v>
      </c>
      <c r="L238" s="13">
        <f t="shared" si="94"/>
        <v>3150</v>
      </c>
      <c r="M238" s="13">
        <f t="shared" si="95"/>
        <v>3150</v>
      </c>
      <c r="N238" s="13">
        <f t="shared" si="96"/>
        <v>3150</v>
      </c>
      <c r="O238" s="13">
        <f t="shared" si="97"/>
        <v>3150</v>
      </c>
      <c r="P238" s="13">
        <f t="shared" si="98"/>
        <v>3150</v>
      </c>
      <c r="Q238" s="13">
        <f t="shared" si="99"/>
        <v>3150</v>
      </c>
      <c r="R238" s="13">
        <f t="shared" si="100"/>
        <v>3150</v>
      </c>
      <c r="S238" s="5">
        <f t="shared" si="102"/>
        <v>37800</v>
      </c>
    </row>
    <row r="239" spans="2:19" x14ac:dyDescent="0.35">
      <c r="B239">
        <v>100</v>
      </c>
      <c r="C239" t="s">
        <v>157</v>
      </c>
      <c r="D239" t="s">
        <v>101</v>
      </c>
      <c r="E239">
        <v>1001006</v>
      </c>
      <c r="F239" t="s">
        <v>78</v>
      </c>
      <c r="G239" s="13">
        <f t="shared" si="101"/>
        <v>16394.263199999998</v>
      </c>
      <c r="H239" s="13">
        <f t="shared" si="90"/>
        <v>14807.721599999999</v>
      </c>
      <c r="I239" s="13">
        <f t="shared" si="91"/>
        <v>16394.263199999998</v>
      </c>
      <c r="J239" s="13">
        <f t="shared" si="92"/>
        <v>15865.415999999997</v>
      </c>
      <c r="K239" s="13">
        <f t="shared" si="93"/>
        <v>16394.263199999998</v>
      </c>
      <c r="L239" s="13">
        <f t="shared" si="94"/>
        <v>15865.415999999997</v>
      </c>
      <c r="M239" s="13">
        <f t="shared" si="95"/>
        <v>16394.263199999998</v>
      </c>
      <c r="N239" s="13">
        <f t="shared" si="96"/>
        <v>16394.263199999998</v>
      </c>
      <c r="O239" s="13">
        <f t="shared" si="97"/>
        <v>15865.415999999997</v>
      </c>
      <c r="P239" s="13">
        <f t="shared" si="98"/>
        <v>16394.263199999998</v>
      </c>
      <c r="Q239" s="13">
        <f t="shared" si="99"/>
        <v>15865.415999999997</v>
      </c>
      <c r="R239" s="13">
        <f t="shared" si="100"/>
        <v>16394.263199999998</v>
      </c>
      <c r="S239" s="5">
        <f t="shared" si="102"/>
        <v>193029.22799999997</v>
      </c>
    </row>
    <row r="240" spans="2:19" x14ac:dyDescent="0.35">
      <c r="B240">
        <v>100</v>
      </c>
      <c r="C240" t="s">
        <v>157</v>
      </c>
      <c r="D240" t="s">
        <v>101</v>
      </c>
      <c r="E240">
        <v>1001007</v>
      </c>
      <c r="F240" t="s">
        <v>79</v>
      </c>
      <c r="G240" s="13">
        <f t="shared" si="101"/>
        <v>3688.7092199999993</v>
      </c>
      <c r="H240" s="13">
        <f t="shared" si="90"/>
        <v>3331.7373599999996</v>
      </c>
      <c r="I240" s="13">
        <f t="shared" si="91"/>
        <v>3688.7092199999993</v>
      </c>
      <c r="J240" s="13">
        <f t="shared" si="92"/>
        <v>3569.7185999999992</v>
      </c>
      <c r="K240" s="13">
        <f t="shared" si="93"/>
        <v>3688.7092199999993</v>
      </c>
      <c r="L240" s="13">
        <f t="shared" si="94"/>
        <v>3569.7185999999992</v>
      </c>
      <c r="M240" s="13">
        <f t="shared" si="95"/>
        <v>3688.7092199999993</v>
      </c>
      <c r="N240" s="13">
        <f t="shared" si="96"/>
        <v>3688.7092199999993</v>
      </c>
      <c r="O240" s="13">
        <f t="shared" si="97"/>
        <v>3569.7185999999992</v>
      </c>
      <c r="P240" s="13">
        <f t="shared" si="98"/>
        <v>3688.7092199999993</v>
      </c>
      <c r="Q240" s="13">
        <f t="shared" si="99"/>
        <v>3569.7185999999992</v>
      </c>
      <c r="R240" s="13">
        <f t="shared" si="100"/>
        <v>3688.7092199999993</v>
      </c>
      <c r="S240" s="5">
        <f t="shared" si="102"/>
        <v>43431.576299999993</v>
      </c>
    </row>
    <row r="241" spans="2:19" x14ac:dyDescent="0.35">
      <c r="B241">
        <v>100</v>
      </c>
      <c r="C241" t="s">
        <v>157</v>
      </c>
      <c r="D241" t="s">
        <v>101</v>
      </c>
      <c r="E241">
        <v>1001008</v>
      </c>
      <c r="F241" t="s">
        <v>81</v>
      </c>
      <c r="G241" s="13">
        <f t="shared" si="101"/>
        <v>4098.5657999999994</v>
      </c>
      <c r="H241" s="13">
        <f t="shared" si="90"/>
        <v>3701.9303999999997</v>
      </c>
      <c r="I241" s="13">
        <f t="shared" si="91"/>
        <v>4098.5657999999994</v>
      </c>
      <c r="J241" s="13">
        <f t="shared" si="92"/>
        <v>3966.3539999999994</v>
      </c>
      <c r="K241" s="13">
        <f t="shared" si="93"/>
        <v>4098.5657999999994</v>
      </c>
      <c r="L241" s="13">
        <f t="shared" si="94"/>
        <v>3966.3539999999994</v>
      </c>
      <c r="M241" s="13">
        <f t="shared" si="95"/>
        <v>4098.5657999999994</v>
      </c>
      <c r="N241" s="13">
        <f t="shared" si="96"/>
        <v>4098.5657999999994</v>
      </c>
      <c r="O241" s="13">
        <f t="shared" si="97"/>
        <v>3966.3539999999994</v>
      </c>
      <c r="P241" s="13">
        <f t="shared" si="98"/>
        <v>4098.5657999999994</v>
      </c>
      <c r="Q241" s="13">
        <f t="shared" si="99"/>
        <v>3966.3539999999994</v>
      </c>
      <c r="R241" s="13">
        <f t="shared" si="100"/>
        <v>4098.5657999999994</v>
      </c>
      <c r="S241" s="5">
        <f t="shared" si="102"/>
        <v>48257.306999999993</v>
      </c>
    </row>
    <row r="242" spans="2:19" x14ac:dyDescent="0.35">
      <c r="B242">
        <v>100</v>
      </c>
      <c r="C242" t="s">
        <v>157</v>
      </c>
      <c r="D242" t="s">
        <v>101</v>
      </c>
      <c r="E242">
        <v>1001009</v>
      </c>
      <c r="F242" t="s">
        <v>80</v>
      </c>
      <c r="G242" s="13">
        <f t="shared" si="101"/>
        <v>2459.1394799999998</v>
      </c>
      <c r="H242" s="13">
        <f t="shared" si="90"/>
        <v>2221.1582399999998</v>
      </c>
      <c r="I242" s="13">
        <f t="shared" si="91"/>
        <v>2459.1394799999998</v>
      </c>
      <c r="J242" s="13">
        <f t="shared" si="92"/>
        <v>2379.8123999999993</v>
      </c>
      <c r="K242" s="13">
        <f t="shared" si="93"/>
        <v>2459.1394799999998</v>
      </c>
      <c r="L242" s="13">
        <f t="shared" si="94"/>
        <v>2379.8123999999993</v>
      </c>
      <c r="M242" s="13">
        <f t="shared" si="95"/>
        <v>2459.1394799999998</v>
      </c>
      <c r="N242" s="13">
        <f t="shared" si="96"/>
        <v>2459.1394799999998</v>
      </c>
      <c r="O242" s="13">
        <f t="shared" si="97"/>
        <v>2379.8123999999993</v>
      </c>
      <c r="P242" s="13">
        <f t="shared" si="98"/>
        <v>2459.1394799999998</v>
      </c>
      <c r="Q242" s="13">
        <f t="shared" si="99"/>
        <v>2379.8123999999993</v>
      </c>
      <c r="R242" s="13">
        <f t="shared" si="100"/>
        <v>2459.1394799999998</v>
      </c>
      <c r="S242" s="5">
        <f t="shared" si="102"/>
        <v>28954.3842</v>
      </c>
    </row>
    <row r="243" spans="2:19" x14ac:dyDescent="0.35">
      <c r="B243">
        <v>100</v>
      </c>
      <c r="C243" t="s">
        <v>157</v>
      </c>
      <c r="D243" t="s">
        <v>102</v>
      </c>
      <c r="E243">
        <v>1002001</v>
      </c>
      <c r="F243" s="11" t="s">
        <v>83</v>
      </c>
      <c r="G243" s="13">
        <f t="shared" si="101"/>
        <v>40225</v>
      </c>
      <c r="H243" s="13">
        <f t="shared" si="90"/>
        <v>40225</v>
      </c>
      <c r="I243" s="13">
        <f t="shared" si="91"/>
        <v>40225</v>
      </c>
      <c r="J243" s="13">
        <f t="shared" si="92"/>
        <v>40225</v>
      </c>
      <c r="K243" s="13">
        <f t="shared" si="93"/>
        <v>40225</v>
      </c>
      <c r="L243" s="13">
        <f t="shared" si="94"/>
        <v>40225</v>
      </c>
      <c r="M243" s="13">
        <f t="shared" si="95"/>
        <v>40225</v>
      </c>
      <c r="N243" s="13">
        <f t="shared" si="96"/>
        <v>40225</v>
      </c>
      <c r="O243" s="13">
        <f t="shared" si="97"/>
        <v>40225</v>
      </c>
      <c r="P243" s="13">
        <f t="shared" si="98"/>
        <v>40225</v>
      </c>
      <c r="Q243" s="13">
        <f t="shared" si="99"/>
        <v>40225</v>
      </c>
      <c r="R243" s="13">
        <f t="shared" si="100"/>
        <v>40225</v>
      </c>
      <c r="S243" s="5">
        <f t="shared" si="102"/>
        <v>482700</v>
      </c>
    </row>
    <row r="244" spans="2:19" x14ac:dyDescent="0.35">
      <c r="B244">
        <v>100</v>
      </c>
      <c r="C244" t="s">
        <v>157</v>
      </c>
      <c r="D244" t="s">
        <v>102</v>
      </c>
      <c r="E244">
        <v>1002002</v>
      </c>
      <c r="F244" s="11" t="s">
        <v>84</v>
      </c>
      <c r="G244" s="13">
        <f t="shared" si="101"/>
        <v>12075</v>
      </c>
      <c r="H244" s="13">
        <f t="shared" si="90"/>
        <v>12075</v>
      </c>
      <c r="I244" s="13">
        <f t="shared" si="91"/>
        <v>12075</v>
      </c>
      <c r="J244" s="13">
        <f t="shared" si="92"/>
        <v>12075</v>
      </c>
      <c r="K244" s="13">
        <f t="shared" si="93"/>
        <v>12075</v>
      </c>
      <c r="L244" s="13">
        <f t="shared" si="94"/>
        <v>12075</v>
      </c>
      <c r="M244" s="13">
        <f t="shared" si="95"/>
        <v>12075</v>
      </c>
      <c r="N244" s="13">
        <f t="shared" si="96"/>
        <v>12075</v>
      </c>
      <c r="O244" s="13">
        <f t="shared" si="97"/>
        <v>12075</v>
      </c>
      <c r="P244" s="13">
        <f t="shared" si="98"/>
        <v>12075</v>
      </c>
      <c r="Q244" s="13">
        <f t="shared" si="99"/>
        <v>12075</v>
      </c>
      <c r="R244" s="13">
        <f t="shared" si="100"/>
        <v>12075</v>
      </c>
      <c r="S244" s="5">
        <f t="shared" si="102"/>
        <v>144900</v>
      </c>
    </row>
    <row r="245" spans="2:19" x14ac:dyDescent="0.35">
      <c r="B245">
        <v>100</v>
      </c>
      <c r="C245" t="s">
        <v>157</v>
      </c>
      <c r="D245" t="s">
        <v>102</v>
      </c>
      <c r="E245">
        <v>1002003</v>
      </c>
      <c r="F245" s="11" t="s">
        <v>85</v>
      </c>
      <c r="G245" s="13">
        <f t="shared" si="101"/>
        <v>4500</v>
      </c>
      <c r="H245" s="13">
        <f t="shared" si="90"/>
        <v>4500</v>
      </c>
      <c r="I245" s="13">
        <f t="shared" si="91"/>
        <v>4500</v>
      </c>
      <c r="J245" s="13">
        <f t="shared" si="92"/>
        <v>4500</v>
      </c>
      <c r="K245" s="13">
        <f t="shared" si="93"/>
        <v>4500</v>
      </c>
      <c r="L245" s="13">
        <f t="shared" si="94"/>
        <v>4500</v>
      </c>
      <c r="M245" s="13">
        <f t="shared" si="95"/>
        <v>4500</v>
      </c>
      <c r="N245" s="13">
        <f t="shared" si="96"/>
        <v>4500</v>
      </c>
      <c r="O245" s="13">
        <f t="shared" si="97"/>
        <v>4500</v>
      </c>
      <c r="P245" s="13">
        <f t="shared" si="98"/>
        <v>4500</v>
      </c>
      <c r="Q245" s="13">
        <f t="shared" si="99"/>
        <v>4500</v>
      </c>
      <c r="R245" s="13">
        <f t="shared" si="100"/>
        <v>4500</v>
      </c>
      <c r="S245" s="5">
        <f t="shared" si="102"/>
        <v>54000</v>
      </c>
    </row>
    <row r="246" spans="2:19" x14ac:dyDescent="0.35">
      <c r="B246">
        <v>100</v>
      </c>
      <c r="C246" t="s">
        <v>157</v>
      </c>
      <c r="D246" t="s">
        <v>102</v>
      </c>
      <c r="E246">
        <v>1002004</v>
      </c>
      <c r="F246" s="11" t="s">
        <v>86</v>
      </c>
      <c r="G246" s="13">
        <f t="shared" si="101"/>
        <v>1000</v>
      </c>
      <c r="H246" s="13">
        <f t="shared" si="90"/>
        <v>1000</v>
      </c>
      <c r="I246" s="13">
        <f t="shared" si="91"/>
        <v>1000</v>
      </c>
      <c r="J246" s="13">
        <f t="shared" si="92"/>
        <v>1000</v>
      </c>
      <c r="K246" s="13">
        <f t="shared" si="93"/>
        <v>1000</v>
      </c>
      <c r="L246" s="13">
        <f t="shared" si="94"/>
        <v>1000</v>
      </c>
      <c r="M246" s="13">
        <f t="shared" si="95"/>
        <v>1000</v>
      </c>
      <c r="N246" s="13">
        <f t="shared" si="96"/>
        <v>1000</v>
      </c>
      <c r="O246" s="13">
        <f t="shared" si="97"/>
        <v>1000</v>
      </c>
      <c r="P246" s="13">
        <f t="shared" si="98"/>
        <v>1000</v>
      </c>
      <c r="Q246" s="13">
        <f t="shared" si="99"/>
        <v>1000</v>
      </c>
      <c r="R246" s="13">
        <f t="shared" si="100"/>
        <v>1000</v>
      </c>
      <c r="S246" s="5">
        <f t="shared" si="102"/>
        <v>12000</v>
      </c>
    </row>
    <row r="247" spans="2:19" x14ac:dyDescent="0.35">
      <c r="B247">
        <v>100</v>
      </c>
      <c r="C247" t="s">
        <v>157</v>
      </c>
      <c r="D247" t="s">
        <v>102</v>
      </c>
      <c r="E247">
        <v>1002005</v>
      </c>
      <c r="F247" s="11" t="s">
        <v>87</v>
      </c>
      <c r="G247" s="13">
        <f t="shared" si="101"/>
        <v>1500</v>
      </c>
      <c r="H247" s="13">
        <f t="shared" si="90"/>
        <v>1500</v>
      </c>
      <c r="I247" s="13">
        <f t="shared" si="91"/>
        <v>1500</v>
      </c>
      <c r="J247" s="13">
        <f t="shared" si="92"/>
        <v>1500</v>
      </c>
      <c r="K247" s="13">
        <f t="shared" si="93"/>
        <v>1500</v>
      </c>
      <c r="L247" s="13">
        <f t="shared" si="94"/>
        <v>1500</v>
      </c>
      <c r="M247" s="13">
        <f t="shared" si="95"/>
        <v>1500</v>
      </c>
      <c r="N247" s="13">
        <f t="shared" si="96"/>
        <v>1500</v>
      </c>
      <c r="O247" s="13">
        <f t="shared" si="97"/>
        <v>1500</v>
      </c>
      <c r="P247" s="13">
        <f t="shared" si="98"/>
        <v>1500</v>
      </c>
      <c r="Q247" s="13">
        <f t="shared" si="99"/>
        <v>1500</v>
      </c>
      <c r="R247" s="13">
        <f t="shared" si="100"/>
        <v>1500</v>
      </c>
      <c r="S247" s="5">
        <f t="shared" si="102"/>
        <v>18000</v>
      </c>
    </row>
    <row r="248" spans="2:19" x14ac:dyDescent="0.35">
      <c r="B248">
        <v>100</v>
      </c>
      <c r="C248" t="s">
        <v>157</v>
      </c>
      <c r="D248" t="s">
        <v>102</v>
      </c>
      <c r="E248">
        <v>1002006</v>
      </c>
      <c r="F248" s="11" t="s">
        <v>88</v>
      </c>
      <c r="G248" s="13">
        <f t="shared" si="101"/>
        <v>1000</v>
      </c>
      <c r="H248" s="13">
        <f t="shared" si="90"/>
        <v>1000</v>
      </c>
      <c r="I248" s="13">
        <f t="shared" si="91"/>
        <v>1000</v>
      </c>
      <c r="J248" s="13">
        <f t="shared" si="92"/>
        <v>1000</v>
      </c>
      <c r="K248" s="13">
        <f t="shared" si="93"/>
        <v>1000</v>
      </c>
      <c r="L248" s="13">
        <f t="shared" si="94"/>
        <v>1000</v>
      </c>
      <c r="M248" s="13">
        <f t="shared" si="95"/>
        <v>1000</v>
      </c>
      <c r="N248" s="13">
        <f t="shared" si="96"/>
        <v>1000</v>
      </c>
      <c r="O248" s="13">
        <f t="shared" si="97"/>
        <v>1000</v>
      </c>
      <c r="P248" s="13">
        <f t="shared" si="98"/>
        <v>1000</v>
      </c>
      <c r="Q248" s="13">
        <f t="shared" si="99"/>
        <v>1000</v>
      </c>
      <c r="R248" s="13">
        <f t="shared" si="100"/>
        <v>1000</v>
      </c>
      <c r="S248" s="5">
        <f t="shared" si="102"/>
        <v>12000</v>
      </c>
    </row>
    <row r="249" spans="2:19" x14ac:dyDescent="0.35">
      <c r="B249">
        <v>100</v>
      </c>
      <c r="C249" t="s">
        <v>157</v>
      </c>
      <c r="D249" t="s">
        <v>100</v>
      </c>
      <c r="E249">
        <v>1003001</v>
      </c>
      <c r="F249" t="s">
        <v>82</v>
      </c>
      <c r="G249" s="13">
        <f t="shared" si="101"/>
        <v>46500</v>
      </c>
      <c r="H249" s="13">
        <f t="shared" si="90"/>
        <v>46500</v>
      </c>
      <c r="I249" s="13">
        <f t="shared" si="91"/>
        <v>46500</v>
      </c>
      <c r="J249" s="13">
        <f t="shared" si="92"/>
        <v>46500</v>
      </c>
      <c r="K249" s="13">
        <f t="shared" si="93"/>
        <v>46500</v>
      </c>
      <c r="L249" s="13">
        <f t="shared" si="94"/>
        <v>46500</v>
      </c>
      <c r="M249" s="13">
        <f t="shared" si="95"/>
        <v>46500</v>
      </c>
      <c r="N249" s="13">
        <f t="shared" si="96"/>
        <v>46500</v>
      </c>
      <c r="O249" s="13">
        <f t="shared" si="97"/>
        <v>46500</v>
      </c>
      <c r="P249" s="13">
        <f t="shared" si="98"/>
        <v>46500</v>
      </c>
      <c r="Q249" s="13">
        <f t="shared" si="99"/>
        <v>46500</v>
      </c>
      <c r="R249" s="13">
        <f t="shared" si="100"/>
        <v>46500</v>
      </c>
      <c r="S249" s="7">
        <f t="shared" si="102"/>
        <v>558000</v>
      </c>
    </row>
    <row r="250" spans="2:19" x14ac:dyDescent="0.35">
      <c r="B250">
        <v>100</v>
      </c>
      <c r="C250" t="s">
        <v>157</v>
      </c>
      <c r="D250" t="s">
        <v>100</v>
      </c>
      <c r="E250">
        <v>1003002</v>
      </c>
      <c r="F250" t="s">
        <v>74</v>
      </c>
      <c r="G250" s="13">
        <f t="shared" si="101"/>
        <v>0</v>
      </c>
      <c r="H250" s="13">
        <f t="shared" si="90"/>
        <v>0</v>
      </c>
      <c r="I250" s="13">
        <f t="shared" si="91"/>
        <v>0</v>
      </c>
      <c r="J250" s="13">
        <f t="shared" si="92"/>
        <v>0</v>
      </c>
      <c r="K250" s="13">
        <f t="shared" si="93"/>
        <v>0</v>
      </c>
      <c r="L250" s="13">
        <f t="shared" si="94"/>
        <v>0</v>
      </c>
      <c r="M250" s="13">
        <f t="shared" si="95"/>
        <v>0</v>
      </c>
      <c r="N250" s="13">
        <f t="shared" si="96"/>
        <v>0</v>
      </c>
      <c r="O250" s="13">
        <f t="shared" si="97"/>
        <v>0</v>
      </c>
      <c r="P250" s="13">
        <f t="shared" si="98"/>
        <v>0</v>
      </c>
      <c r="Q250" s="13">
        <f t="shared" si="99"/>
        <v>0</v>
      </c>
      <c r="R250" s="13">
        <f t="shared" si="100"/>
        <v>0</v>
      </c>
      <c r="S250" s="5">
        <f t="shared" si="102"/>
        <v>0</v>
      </c>
    </row>
    <row r="251" spans="2:19" x14ac:dyDescent="0.35">
      <c r="B251">
        <v>100</v>
      </c>
      <c r="C251" t="s">
        <v>157</v>
      </c>
      <c r="D251" t="s">
        <v>100</v>
      </c>
      <c r="E251">
        <v>1003003</v>
      </c>
      <c r="F251" t="s">
        <v>77</v>
      </c>
      <c r="G251" s="13">
        <f t="shared" si="101"/>
        <v>0</v>
      </c>
      <c r="H251" s="13">
        <f t="shared" si="90"/>
        <v>0</v>
      </c>
      <c r="I251" s="13">
        <f t="shared" si="91"/>
        <v>0</v>
      </c>
      <c r="J251" s="13">
        <f t="shared" si="92"/>
        <v>0</v>
      </c>
      <c r="K251" s="13">
        <f t="shared" si="93"/>
        <v>0</v>
      </c>
      <c r="L251" s="13">
        <f t="shared" si="94"/>
        <v>0</v>
      </c>
      <c r="M251" s="13">
        <f t="shared" si="95"/>
        <v>0</v>
      </c>
      <c r="N251" s="13">
        <f t="shared" si="96"/>
        <v>0</v>
      </c>
      <c r="O251" s="13">
        <f t="shared" si="97"/>
        <v>0</v>
      </c>
      <c r="P251" s="13">
        <f t="shared" si="98"/>
        <v>0</v>
      </c>
      <c r="Q251" s="13">
        <f t="shared" si="99"/>
        <v>0</v>
      </c>
      <c r="R251" s="13">
        <f t="shared" si="100"/>
        <v>0</v>
      </c>
      <c r="S251" s="5">
        <f t="shared" si="102"/>
        <v>0</v>
      </c>
    </row>
    <row r="252" spans="2:19" x14ac:dyDescent="0.35">
      <c r="B252">
        <v>100</v>
      </c>
      <c r="C252" t="s">
        <v>157</v>
      </c>
      <c r="D252" t="s">
        <v>100</v>
      </c>
      <c r="E252">
        <v>1003004</v>
      </c>
      <c r="F252" t="s">
        <v>75</v>
      </c>
      <c r="G252" s="13">
        <f t="shared" si="101"/>
        <v>468.75</v>
      </c>
      <c r="H252" s="13">
        <f t="shared" si="90"/>
        <v>518.97321428571422</v>
      </c>
      <c r="I252" s="13">
        <f t="shared" si="91"/>
        <v>468.75</v>
      </c>
      <c r="J252" s="13">
        <f t="shared" si="92"/>
        <v>484.375</v>
      </c>
      <c r="K252" s="13">
        <f t="shared" si="93"/>
        <v>468.75</v>
      </c>
      <c r="L252" s="13">
        <f t="shared" si="94"/>
        <v>484.375</v>
      </c>
      <c r="M252" s="13">
        <f t="shared" si="95"/>
        <v>468.75</v>
      </c>
      <c r="N252" s="13">
        <f t="shared" si="96"/>
        <v>468.75</v>
      </c>
      <c r="O252" s="13">
        <f t="shared" si="97"/>
        <v>484.375</v>
      </c>
      <c r="P252" s="13">
        <f t="shared" si="98"/>
        <v>468.75</v>
      </c>
      <c r="Q252" s="13">
        <f t="shared" si="99"/>
        <v>484.375</v>
      </c>
      <c r="R252" s="13">
        <f t="shared" si="100"/>
        <v>468.75</v>
      </c>
      <c r="S252" s="5">
        <f t="shared" si="102"/>
        <v>5737.7232142857138</v>
      </c>
    </row>
    <row r="253" spans="2:19" x14ac:dyDescent="0.35">
      <c r="B253">
        <v>100</v>
      </c>
      <c r="C253" t="s">
        <v>157</v>
      </c>
      <c r="D253" t="s">
        <v>100</v>
      </c>
      <c r="E253">
        <v>1003005</v>
      </c>
      <c r="F253" t="s">
        <v>76</v>
      </c>
      <c r="G253" s="13">
        <f t="shared" si="101"/>
        <v>1875</v>
      </c>
      <c r="H253" s="13">
        <f t="shared" si="90"/>
        <v>2075.8928571428569</v>
      </c>
      <c r="I253" s="13">
        <f t="shared" si="91"/>
        <v>1875</v>
      </c>
      <c r="J253" s="13">
        <f t="shared" si="92"/>
        <v>1937.5</v>
      </c>
      <c r="K253" s="13">
        <f t="shared" si="93"/>
        <v>1875</v>
      </c>
      <c r="L253" s="13">
        <f t="shared" si="94"/>
        <v>1937.5</v>
      </c>
      <c r="M253" s="13">
        <f t="shared" si="95"/>
        <v>1875</v>
      </c>
      <c r="N253" s="13">
        <f t="shared" si="96"/>
        <v>1875</v>
      </c>
      <c r="O253" s="13">
        <f t="shared" si="97"/>
        <v>1937.5</v>
      </c>
      <c r="P253" s="13">
        <f t="shared" si="98"/>
        <v>1875</v>
      </c>
      <c r="Q253" s="13">
        <f t="shared" si="99"/>
        <v>1937.5</v>
      </c>
      <c r="R253" s="13">
        <f t="shared" si="100"/>
        <v>1875</v>
      </c>
      <c r="S253" s="5">
        <f t="shared" si="102"/>
        <v>22950.892857142855</v>
      </c>
    </row>
    <row r="254" spans="2:19" x14ac:dyDescent="0.35">
      <c r="B254">
        <v>100</v>
      </c>
      <c r="C254" t="s">
        <v>157</v>
      </c>
      <c r="D254" t="s">
        <v>100</v>
      </c>
      <c r="E254">
        <v>1003006</v>
      </c>
      <c r="F254" t="s">
        <v>78</v>
      </c>
      <c r="G254" s="13">
        <f t="shared" si="101"/>
        <v>9758.49</v>
      </c>
      <c r="H254" s="13">
        <f t="shared" si="90"/>
        <v>9758.49</v>
      </c>
      <c r="I254" s="13">
        <f t="shared" si="91"/>
        <v>9758.49</v>
      </c>
      <c r="J254" s="13">
        <f t="shared" si="92"/>
        <v>9758.49</v>
      </c>
      <c r="K254" s="13">
        <f t="shared" si="93"/>
        <v>9758.49</v>
      </c>
      <c r="L254" s="13">
        <f t="shared" si="94"/>
        <v>9758.49</v>
      </c>
      <c r="M254" s="13">
        <f t="shared" si="95"/>
        <v>9758.49</v>
      </c>
      <c r="N254" s="13">
        <f t="shared" si="96"/>
        <v>9758.49</v>
      </c>
      <c r="O254" s="13">
        <f t="shared" si="97"/>
        <v>9758.49</v>
      </c>
      <c r="P254" s="13">
        <f t="shared" si="98"/>
        <v>9758.49</v>
      </c>
      <c r="Q254" s="13">
        <f t="shared" si="99"/>
        <v>9758.49</v>
      </c>
      <c r="R254" s="13">
        <f t="shared" si="100"/>
        <v>9758.49</v>
      </c>
      <c r="S254" s="5">
        <f t="shared" si="102"/>
        <v>117101.88000000002</v>
      </c>
    </row>
    <row r="255" spans="2:19" x14ac:dyDescent="0.35">
      <c r="B255">
        <v>100</v>
      </c>
      <c r="C255" t="s">
        <v>157</v>
      </c>
      <c r="D255" t="s">
        <v>100</v>
      </c>
      <c r="E255">
        <v>1003007</v>
      </c>
      <c r="F255" t="s">
        <v>79</v>
      </c>
      <c r="G255" s="13">
        <f t="shared" si="101"/>
        <v>2195.6602499999999</v>
      </c>
      <c r="H255" s="13">
        <f t="shared" si="90"/>
        <v>2195.6602499999999</v>
      </c>
      <c r="I255" s="13">
        <f t="shared" si="91"/>
        <v>2195.6602499999999</v>
      </c>
      <c r="J255" s="13">
        <f t="shared" si="92"/>
        <v>2195.6602499999999</v>
      </c>
      <c r="K255" s="13">
        <f t="shared" si="93"/>
        <v>2195.6602499999999</v>
      </c>
      <c r="L255" s="13">
        <f t="shared" si="94"/>
        <v>2195.6602499999999</v>
      </c>
      <c r="M255" s="13">
        <f t="shared" si="95"/>
        <v>2195.6602499999999</v>
      </c>
      <c r="N255" s="13">
        <f t="shared" si="96"/>
        <v>2195.6602499999999</v>
      </c>
      <c r="O255" s="13">
        <f t="shared" si="97"/>
        <v>2195.6602499999999</v>
      </c>
      <c r="P255" s="13">
        <f t="shared" si="98"/>
        <v>2195.6602499999999</v>
      </c>
      <c r="Q255" s="13">
        <f t="shared" si="99"/>
        <v>2195.6602499999999</v>
      </c>
      <c r="R255" s="13">
        <f t="shared" si="100"/>
        <v>2195.6602499999999</v>
      </c>
      <c r="S255" s="5">
        <f t="shared" si="102"/>
        <v>26347.923000000006</v>
      </c>
    </row>
    <row r="256" spans="2:19" x14ac:dyDescent="0.35">
      <c r="B256">
        <v>100</v>
      </c>
      <c r="C256" t="s">
        <v>157</v>
      </c>
      <c r="D256" t="s">
        <v>100</v>
      </c>
      <c r="E256">
        <v>1003008</v>
      </c>
      <c r="F256" t="s">
        <v>81</v>
      </c>
      <c r="G256" s="13">
        <f t="shared" si="101"/>
        <v>2439.6224999999999</v>
      </c>
      <c r="H256" s="13">
        <f t="shared" si="90"/>
        <v>2439.6224999999999</v>
      </c>
      <c r="I256" s="13">
        <f t="shared" si="91"/>
        <v>2439.6224999999999</v>
      </c>
      <c r="J256" s="13">
        <f t="shared" si="92"/>
        <v>2439.6224999999999</v>
      </c>
      <c r="K256" s="13">
        <f t="shared" si="93"/>
        <v>2439.6224999999999</v>
      </c>
      <c r="L256" s="13">
        <f t="shared" si="94"/>
        <v>2439.6224999999999</v>
      </c>
      <c r="M256" s="13">
        <f t="shared" si="95"/>
        <v>2439.6224999999999</v>
      </c>
      <c r="N256" s="13">
        <f t="shared" si="96"/>
        <v>2439.6224999999999</v>
      </c>
      <c r="O256" s="13">
        <f t="shared" si="97"/>
        <v>2439.6224999999999</v>
      </c>
      <c r="P256" s="13">
        <f t="shared" si="98"/>
        <v>2439.6224999999999</v>
      </c>
      <c r="Q256" s="13">
        <f t="shared" si="99"/>
        <v>2439.6224999999999</v>
      </c>
      <c r="R256" s="13">
        <f t="shared" si="100"/>
        <v>2439.6224999999999</v>
      </c>
      <c r="S256" s="5">
        <f t="shared" si="102"/>
        <v>29275.470000000005</v>
      </c>
    </row>
    <row r="257" spans="2:19" x14ac:dyDescent="0.35">
      <c r="B257">
        <v>100</v>
      </c>
      <c r="C257" t="s">
        <v>157</v>
      </c>
      <c r="D257" t="s">
        <v>100</v>
      </c>
      <c r="E257">
        <v>1003009</v>
      </c>
      <c r="F257" t="s">
        <v>80</v>
      </c>
      <c r="G257" s="13">
        <f t="shared" si="101"/>
        <v>1463.7734999999998</v>
      </c>
      <c r="H257" s="13">
        <f t="shared" si="90"/>
        <v>1463.7734999999998</v>
      </c>
      <c r="I257" s="13">
        <f t="shared" si="91"/>
        <v>1463.7734999999998</v>
      </c>
      <c r="J257" s="13">
        <f t="shared" si="92"/>
        <v>1463.7734999999998</v>
      </c>
      <c r="K257" s="13">
        <f t="shared" si="93"/>
        <v>1463.7734999999998</v>
      </c>
      <c r="L257" s="13">
        <f t="shared" si="94"/>
        <v>1463.7734999999998</v>
      </c>
      <c r="M257" s="13">
        <f t="shared" si="95"/>
        <v>1463.7734999999998</v>
      </c>
      <c r="N257" s="13">
        <f t="shared" si="96"/>
        <v>1463.7734999999998</v>
      </c>
      <c r="O257" s="13">
        <f t="shared" si="97"/>
        <v>1463.7734999999998</v>
      </c>
      <c r="P257" s="13">
        <f t="shared" si="98"/>
        <v>1463.7734999999998</v>
      </c>
      <c r="Q257" s="13">
        <f t="shared" si="99"/>
        <v>1463.7734999999998</v>
      </c>
      <c r="R257" s="13">
        <f t="shared" si="100"/>
        <v>1463.7734999999998</v>
      </c>
      <c r="S257" s="5">
        <f t="shared" si="102"/>
        <v>17565.281999999996</v>
      </c>
    </row>
    <row r="258" spans="2:19" x14ac:dyDescent="0.35">
      <c r="B258">
        <v>100</v>
      </c>
      <c r="C258" t="s">
        <v>157</v>
      </c>
      <c r="D258" t="s">
        <v>100</v>
      </c>
      <c r="E258">
        <v>1003101</v>
      </c>
      <c r="F258" t="s">
        <v>89</v>
      </c>
      <c r="G258" s="13">
        <f t="shared" si="101"/>
        <v>15000</v>
      </c>
      <c r="H258" s="13">
        <f t="shared" si="90"/>
        <v>15000</v>
      </c>
      <c r="I258" s="13">
        <f t="shared" si="91"/>
        <v>15000</v>
      </c>
      <c r="J258" s="13">
        <f t="shared" si="92"/>
        <v>15000</v>
      </c>
      <c r="K258" s="13">
        <f t="shared" si="93"/>
        <v>15000</v>
      </c>
      <c r="L258" s="13">
        <f t="shared" si="94"/>
        <v>15000</v>
      </c>
      <c r="M258" s="13">
        <f t="shared" si="95"/>
        <v>15000</v>
      </c>
      <c r="N258" s="13">
        <f t="shared" si="96"/>
        <v>15000</v>
      </c>
      <c r="O258" s="13">
        <f t="shared" si="97"/>
        <v>15000</v>
      </c>
      <c r="P258" s="13">
        <f t="shared" si="98"/>
        <v>15000</v>
      </c>
      <c r="Q258" s="13">
        <f t="shared" si="99"/>
        <v>15000</v>
      </c>
      <c r="R258" s="13">
        <f t="shared" si="100"/>
        <v>15000</v>
      </c>
      <c r="S258" s="5">
        <f t="shared" si="102"/>
        <v>180000</v>
      </c>
    </row>
    <row r="259" spans="2:19" x14ac:dyDescent="0.35">
      <c r="B259">
        <v>100</v>
      </c>
      <c r="C259" t="s">
        <v>157</v>
      </c>
      <c r="D259" t="s">
        <v>100</v>
      </c>
      <c r="E259">
        <v>1003102</v>
      </c>
      <c r="F259" t="s">
        <v>90</v>
      </c>
      <c r="G259" s="13">
        <f t="shared" si="101"/>
        <v>250</v>
      </c>
      <c r="H259" s="13">
        <f t="shared" si="90"/>
        <v>250</v>
      </c>
      <c r="I259" s="13">
        <f t="shared" si="91"/>
        <v>250</v>
      </c>
      <c r="J259" s="13">
        <f t="shared" si="92"/>
        <v>250</v>
      </c>
      <c r="K259" s="13">
        <f t="shared" si="93"/>
        <v>250</v>
      </c>
      <c r="L259" s="13">
        <f t="shared" si="94"/>
        <v>250</v>
      </c>
      <c r="M259" s="13">
        <f t="shared" si="95"/>
        <v>250</v>
      </c>
      <c r="N259" s="13">
        <f t="shared" si="96"/>
        <v>250</v>
      </c>
      <c r="O259" s="13">
        <f t="shared" si="97"/>
        <v>250</v>
      </c>
      <c r="P259" s="13">
        <f t="shared" si="98"/>
        <v>250</v>
      </c>
      <c r="Q259" s="13">
        <f t="shared" si="99"/>
        <v>250</v>
      </c>
      <c r="R259" s="13">
        <f t="shared" si="100"/>
        <v>250</v>
      </c>
      <c r="S259" s="5">
        <f t="shared" si="102"/>
        <v>3000</v>
      </c>
    </row>
    <row r="260" spans="2:19" x14ac:dyDescent="0.35">
      <c r="B260">
        <v>100</v>
      </c>
      <c r="C260" t="s">
        <v>157</v>
      </c>
      <c r="D260" t="s">
        <v>100</v>
      </c>
      <c r="E260">
        <v>1003103</v>
      </c>
      <c r="F260" t="s">
        <v>91</v>
      </c>
      <c r="G260" s="13">
        <f t="shared" si="101"/>
        <v>175</v>
      </c>
      <c r="H260" s="13">
        <f t="shared" si="90"/>
        <v>175</v>
      </c>
      <c r="I260" s="13">
        <f t="shared" si="91"/>
        <v>175</v>
      </c>
      <c r="J260" s="13">
        <f t="shared" si="92"/>
        <v>175</v>
      </c>
      <c r="K260" s="13">
        <f t="shared" si="93"/>
        <v>175</v>
      </c>
      <c r="L260" s="13">
        <f t="shared" si="94"/>
        <v>175</v>
      </c>
      <c r="M260" s="13">
        <f t="shared" si="95"/>
        <v>175</v>
      </c>
      <c r="N260" s="13">
        <f t="shared" si="96"/>
        <v>175</v>
      </c>
      <c r="O260" s="13">
        <f t="shared" si="97"/>
        <v>175</v>
      </c>
      <c r="P260" s="13">
        <f t="shared" si="98"/>
        <v>175</v>
      </c>
      <c r="Q260" s="13">
        <f t="shared" si="99"/>
        <v>175</v>
      </c>
      <c r="R260" s="13">
        <f t="shared" si="100"/>
        <v>175</v>
      </c>
      <c r="S260" s="5">
        <f t="shared" si="102"/>
        <v>2100</v>
      </c>
    </row>
    <row r="261" spans="2:19" x14ac:dyDescent="0.35">
      <c r="B261">
        <v>100</v>
      </c>
      <c r="C261" t="s">
        <v>157</v>
      </c>
      <c r="D261" t="s">
        <v>100</v>
      </c>
      <c r="E261">
        <v>1003104</v>
      </c>
      <c r="F261" t="s">
        <v>92</v>
      </c>
      <c r="G261" s="13">
        <f t="shared" si="101"/>
        <v>1200</v>
      </c>
      <c r="H261" s="13">
        <f t="shared" si="90"/>
        <v>1200</v>
      </c>
      <c r="I261" s="13">
        <f t="shared" si="91"/>
        <v>1200</v>
      </c>
      <c r="J261" s="13">
        <f t="shared" si="92"/>
        <v>1200</v>
      </c>
      <c r="K261" s="13">
        <f t="shared" si="93"/>
        <v>1200</v>
      </c>
      <c r="L261" s="13">
        <f t="shared" si="94"/>
        <v>1200</v>
      </c>
      <c r="M261" s="13">
        <f t="shared" si="95"/>
        <v>1200</v>
      </c>
      <c r="N261" s="13">
        <f t="shared" si="96"/>
        <v>1200</v>
      </c>
      <c r="O261" s="13">
        <f t="shared" si="97"/>
        <v>1200</v>
      </c>
      <c r="P261" s="13">
        <f t="shared" si="98"/>
        <v>1200</v>
      </c>
      <c r="Q261" s="13">
        <f t="shared" si="99"/>
        <v>1200</v>
      </c>
      <c r="R261" s="13">
        <f t="shared" si="100"/>
        <v>1200</v>
      </c>
      <c r="S261" s="5">
        <f t="shared" si="102"/>
        <v>14400</v>
      </c>
    </row>
    <row r="262" spans="2:19" x14ac:dyDescent="0.35">
      <c r="C262" t="s">
        <v>96</v>
      </c>
      <c r="G262" s="5">
        <f>SUM(G234:G261)</f>
        <v>250324.47394999999</v>
      </c>
      <c r="H262" s="5">
        <f t="shared" ref="H262" si="103">SUM(H234:H261)</f>
        <v>240437.45992142856</v>
      </c>
      <c r="I262" s="5">
        <f t="shared" ref="I262" si="104">SUM(I234:I261)</f>
        <v>250324.47394999999</v>
      </c>
      <c r="J262" s="5">
        <f t="shared" ref="J262" si="105">SUM(J234:J261)</f>
        <v>247023.22224999996</v>
      </c>
      <c r="K262" s="5">
        <f t="shared" ref="K262" si="106">SUM(K234:K261)</f>
        <v>250324.47394999999</v>
      </c>
      <c r="L262" s="5">
        <f t="shared" ref="L262" si="107">SUM(L234:L261)</f>
        <v>247023.22224999996</v>
      </c>
      <c r="M262" s="5">
        <f t="shared" ref="M262" si="108">SUM(M234:M261)</f>
        <v>250324.47394999999</v>
      </c>
      <c r="N262" s="5">
        <f t="shared" ref="N262" si="109">SUM(N234:N261)</f>
        <v>250324.47394999999</v>
      </c>
      <c r="O262" s="5">
        <f t="shared" ref="O262" si="110">SUM(O234:O261)</f>
        <v>247023.22224999996</v>
      </c>
      <c r="P262" s="5">
        <f t="shared" ref="P262" si="111">SUM(P234:P261)</f>
        <v>250324.47394999999</v>
      </c>
      <c r="Q262" s="5">
        <f t="shared" ref="Q262" si="112">SUM(Q234:Q261)</f>
        <v>247023.22224999996</v>
      </c>
      <c r="R262" s="5">
        <f t="shared" ref="R262" si="113">SUM(R234:R261)</f>
        <v>250324.47394999999</v>
      </c>
      <c r="S262" s="5">
        <f t="shared" ref="S262" si="114">SUM(S234:S261)</f>
        <v>2980801.666571429</v>
      </c>
    </row>
    <row r="263" spans="2:19" x14ac:dyDescent="0.35">
      <c r="S263" s="5"/>
    </row>
    <row r="264" spans="2:19" x14ac:dyDescent="0.35">
      <c r="B264">
        <v>110</v>
      </c>
      <c r="C264" t="s">
        <v>158</v>
      </c>
      <c r="D264" t="s">
        <v>101</v>
      </c>
      <c r="E264">
        <v>1001001</v>
      </c>
      <c r="F264" t="s">
        <v>73</v>
      </c>
      <c r="G264" s="13">
        <f t="shared" ref="G264:G291" si="115">G34+((G94+G124+G154)*$G$228)</f>
        <v>58590</v>
      </c>
      <c r="H264" s="13">
        <f t="shared" ref="H264:H291" si="116">H34+((H94+H124+H154)*$H$228)</f>
        <v>52920</v>
      </c>
      <c r="I264" s="13">
        <f t="shared" ref="I264:I291" si="117">I34+((I94+I124+I154)*$I$228)</f>
        <v>58590</v>
      </c>
      <c r="J264" s="13">
        <f t="shared" ref="J264:J291" si="118">J34+((J94+J124+J154)*$J$228)</f>
        <v>56700</v>
      </c>
      <c r="K264" s="13">
        <f t="shared" ref="K264:K291" si="119">K34+((K94+K124+K154)*$K$228)</f>
        <v>58590</v>
      </c>
      <c r="L264" s="13">
        <f t="shared" ref="L264:L291" si="120">L34+((L94+L124+L154)*$L$228)</f>
        <v>56700</v>
      </c>
      <c r="M264" s="13">
        <f t="shared" ref="M264:M291" si="121">M34+((M94+M124+M154)*$M$228)</f>
        <v>58590</v>
      </c>
      <c r="N264" s="13">
        <f t="shared" ref="N264:N291" si="122">N34+((N94+N124+N154)*$N$228)</f>
        <v>58590</v>
      </c>
      <c r="O264" s="13">
        <f t="shared" ref="O264:O291" si="123">O34+((O94+O124+O154)*$O$228)</f>
        <v>56700</v>
      </c>
      <c r="P264" s="13">
        <f t="shared" ref="P264:P291" si="124">P34+((P94+P124+P154)*$P$228)</f>
        <v>58590</v>
      </c>
      <c r="Q264" s="13">
        <f t="shared" ref="Q264:Q291" si="125">Q34+((Q94+Q124+Q154)*$Q$228)</f>
        <v>56700</v>
      </c>
      <c r="R264" s="13">
        <f t="shared" ref="R264:R291" si="126">R34+((R94+R124+R154)*$R$228)</f>
        <v>58590</v>
      </c>
      <c r="S264" s="5">
        <f t="shared" ref="S264:S291" si="127">SUM(G264:R264)</f>
        <v>689850</v>
      </c>
    </row>
    <row r="265" spans="2:19" x14ac:dyDescent="0.35">
      <c r="B265">
        <v>110</v>
      </c>
      <c r="C265" t="s">
        <v>158</v>
      </c>
      <c r="D265" t="s">
        <v>101</v>
      </c>
      <c r="E265">
        <v>1001002</v>
      </c>
      <c r="F265" t="s">
        <v>74</v>
      </c>
      <c r="G265" s="13">
        <f t="shared" si="115"/>
        <v>0</v>
      </c>
      <c r="H265" s="13">
        <f t="shared" si="116"/>
        <v>0</v>
      </c>
      <c r="I265" s="13">
        <f t="shared" si="117"/>
        <v>0</v>
      </c>
      <c r="J265" s="13">
        <f t="shared" si="118"/>
        <v>0</v>
      </c>
      <c r="K265" s="13">
        <f t="shared" si="119"/>
        <v>0</v>
      </c>
      <c r="L265" s="13">
        <f t="shared" si="120"/>
        <v>0</v>
      </c>
      <c r="M265" s="13">
        <f t="shared" si="121"/>
        <v>0</v>
      </c>
      <c r="N265" s="13">
        <f t="shared" si="122"/>
        <v>0</v>
      </c>
      <c r="O265" s="13">
        <f t="shared" si="123"/>
        <v>0</v>
      </c>
      <c r="P265" s="13">
        <f t="shared" si="124"/>
        <v>0</v>
      </c>
      <c r="Q265" s="13">
        <f t="shared" si="125"/>
        <v>0</v>
      </c>
      <c r="R265" s="13">
        <f t="shared" si="126"/>
        <v>0</v>
      </c>
      <c r="S265" s="5">
        <f t="shared" si="127"/>
        <v>0</v>
      </c>
    </row>
    <row r="266" spans="2:19" x14ac:dyDescent="0.35">
      <c r="B266">
        <v>110</v>
      </c>
      <c r="C266" t="s">
        <v>158</v>
      </c>
      <c r="D266" t="s">
        <v>101</v>
      </c>
      <c r="E266">
        <v>1001003</v>
      </c>
      <c r="F266" t="s">
        <v>77</v>
      </c>
      <c r="G266" s="13">
        <f t="shared" si="115"/>
        <v>0</v>
      </c>
      <c r="H266" s="13">
        <f t="shared" si="116"/>
        <v>0</v>
      </c>
      <c r="I266" s="13">
        <f t="shared" si="117"/>
        <v>0</v>
      </c>
      <c r="J266" s="13">
        <f t="shared" si="118"/>
        <v>0</v>
      </c>
      <c r="K266" s="13">
        <f t="shared" si="119"/>
        <v>0</v>
      </c>
      <c r="L266" s="13">
        <f t="shared" si="120"/>
        <v>0</v>
      </c>
      <c r="M266" s="13">
        <f t="shared" si="121"/>
        <v>0</v>
      </c>
      <c r="N266" s="13">
        <f t="shared" si="122"/>
        <v>0</v>
      </c>
      <c r="O266" s="13">
        <f t="shared" si="123"/>
        <v>0</v>
      </c>
      <c r="P266" s="13">
        <f t="shared" si="124"/>
        <v>0</v>
      </c>
      <c r="Q266" s="13">
        <f t="shared" si="125"/>
        <v>0</v>
      </c>
      <c r="R266" s="13">
        <f t="shared" si="126"/>
        <v>0</v>
      </c>
      <c r="S266" s="5">
        <f t="shared" si="127"/>
        <v>0</v>
      </c>
    </row>
    <row r="267" spans="2:19" x14ac:dyDescent="0.35">
      <c r="B267">
        <v>110</v>
      </c>
      <c r="C267" t="s">
        <v>158</v>
      </c>
      <c r="D267" t="s">
        <v>101</v>
      </c>
      <c r="E267">
        <v>1001004</v>
      </c>
      <c r="F267" t="s">
        <v>75</v>
      </c>
      <c r="G267" s="13">
        <f t="shared" si="115"/>
        <v>590.625</v>
      </c>
      <c r="H267" s="13">
        <f t="shared" si="116"/>
        <v>590.625</v>
      </c>
      <c r="I267" s="13">
        <f t="shared" si="117"/>
        <v>590.625</v>
      </c>
      <c r="J267" s="13">
        <f t="shared" si="118"/>
        <v>590.625</v>
      </c>
      <c r="K267" s="13">
        <f t="shared" si="119"/>
        <v>590.625</v>
      </c>
      <c r="L267" s="13">
        <f t="shared" si="120"/>
        <v>590.625</v>
      </c>
      <c r="M267" s="13">
        <f t="shared" si="121"/>
        <v>590.625</v>
      </c>
      <c r="N267" s="13">
        <f t="shared" si="122"/>
        <v>590.625</v>
      </c>
      <c r="O267" s="13">
        <f t="shared" si="123"/>
        <v>590.625</v>
      </c>
      <c r="P267" s="13">
        <f t="shared" si="124"/>
        <v>590.625</v>
      </c>
      <c r="Q267" s="13">
        <f t="shared" si="125"/>
        <v>590.625</v>
      </c>
      <c r="R267" s="13">
        <f t="shared" si="126"/>
        <v>590.625</v>
      </c>
      <c r="S267" s="5">
        <f t="shared" si="127"/>
        <v>7087.5</v>
      </c>
    </row>
    <row r="268" spans="2:19" x14ac:dyDescent="0.35">
      <c r="B268">
        <v>110</v>
      </c>
      <c r="C268" t="s">
        <v>158</v>
      </c>
      <c r="D268" t="s">
        <v>101</v>
      </c>
      <c r="E268">
        <v>1001005</v>
      </c>
      <c r="F268" t="s">
        <v>76</v>
      </c>
      <c r="G268" s="13">
        <f t="shared" si="115"/>
        <v>2362.5</v>
      </c>
      <c r="H268" s="13">
        <f t="shared" si="116"/>
        <v>2362.5</v>
      </c>
      <c r="I268" s="13">
        <f t="shared" si="117"/>
        <v>2362.5</v>
      </c>
      <c r="J268" s="13">
        <f t="shared" si="118"/>
        <v>2362.5</v>
      </c>
      <c r="K268" s="13">
        <f t="shared" si="119"/>
        <v>2362.5</v>
      </c>
      <c r="L268" s="13">
        <f t="shared" si="120"/>
        <v>2362.5</v>
      </c>
      <c r="M268" s="13">
        <f t="shared" si="121"/>
        <v>2362.5</v>
      </c>
      <c r="N268" s="13">
        <f t="shared" si="122"/>
        <v>2362.5</v>
      </c>
      <c r="O268" s="13">
        <f t="shared" si="123"/>
        <v>2362.5</v>
      </c>
      <c r="P268" s="13">
        <f t="shared" si="124"/>
        <v>2362.5</v>
      </c>
      <c r="Q268" s="13">
        <f t="shared" si="125"/>
        <v>2362.5</v>
      </c>
      <c r="R268" s="13">
        <f t="shared" si="126"/>
        <v>2362.5</v>
      </c>
      <c r="S268" s="5">
        <f t="shared" si="127"/>
        <v>28350</v>
      </c>
    </row>
    <row r="269" spans="2:19" x14ac:dyDescent="0.35">
      <c r="B269">
        <v>110</v>
      </c>
      <c r="C269" t="s">
        <v>158</v>
      </c>
      <c r="D269" t="s">
        <v>101</v>
      </c>
      <c r="E269">
        <v>1001006</v>
      </c>
      <c r="F269" t="s">
        <v>78</v>
      </c>
      <c r="G269" s="13">
        <f t="shared" si="115"/>
        <v>12295.697399999999</v>
      </c>
      <c r="H269" s="13">
        <f t="shared" si="116"/>
        <v>11105.7912</v>
      </c>
      <c r="I269" s="13">
        <f t="shared" si="117"/>
        <v>12295.697399999999</v>
      </c>
      <c r="J269" s="13">
        <f t="shared" si="118"/>
        <v>11899.062</v>
      </c>
      <c r="K269" s="13">
        <f t="shared" si="119"/>
        <v>12295.697399999999</v>
      </c>
      <c r="L269" s="13">
        <f t="shared" si="120"/>
        <v>11899.062</v>
      </c>
      <c r="M269" s="13">
        <f t="shared" si="121"/>
        <v>12295.697399999999</v>
      </c>
      <c r="N269" s="13">
        <f t="shared" si="122"/>
        <v>12295.697399999999</v>
      </c>
      <c r="O269" s="13">
        <f t="shared" si="123"/>
        <v>11899.062</v>
      </c>
      <c r="P269" s="13">
        <f t="shared" si="124"/>
        <v>12295.697399999999</v>
      </c>
      <c r="Q269" s="13">
        <f t="shared" si="125"/>
        <v>11899.062</v>
      </c>
      <c r="R269" s="13">
        <f t="shared" si="126"/>
        <v>12295.697399999999</v>
      </c>
      <c r="S269" s="5">
        <f t="shared" si="127"/>
        <v>144771.921</v>
      </c>
    </row>
    <row r="270" spans="2:19" x14ac:dyDescent="0.35">
      <c r="B270">
        <v>110</v>
      </c>
      <c r="C270" t="s">
        <v>158</v>
      </c>
      <c r="D270" t="s">
        <v>101</v>
      </c>
      <c r="E270">
        <v>1001007</v>
      </c>
      <c r="F270" t="s">
        <v>79</v>
      </c>
      <c r="G270" s="13">
        <f t="shared" si="115"/>
        <v>2766.5319149999996</v>
      </c>
      <c r="H270" s="13">
        <f t="shared" si="116"/>
        <v>2498.8030199999998</v>
      </c>
      <c r="I270" s="13">
        <f t="shared" si="117"/>
        <v>2766.5319149999996</v>
      </c>
      <c r="J270" s="13">
        <f t="shared" si="118"/>
        <v>2677.2889499999997</v>
      </c>
      <c r="K270" s="13">
        <f t="shared" si="119"/>
        <v>2766.5319149999996</v>
      </c>
      <c r="L270" s="13">
        <f t="shared" si="120"/>
        <v>2677.2889499999997</v>
      </c>
      <c r="M270" s="13">
        <f t="shared" si="121"/>
        <v>2766.5319149999996</v>
      </c>
      <c r="N270" s="13">
        <f t="shared" si="122"/>
        <v>2766.5319149999996</v>
      </c>
      <c r="O270" s="13">
        <f t="shared" si="123"/>
        <v>2677.2889499999997</v>
      </c>
      <c r="P270" s="13">
        <f t="shared" si="124"/>
        <v>2766.5319149999996</v>
      </c>
      <c r="Q270" s="13">
        <f t="shared" si="125"/>
        <v>2677.2889499999997</v>
      </c>
      <c r="R270" s="13">
        <f t="shared" si="126"/>
        <v>2766.5319149999996</v>
      </c>
      <c r="S270" s="5">
        <f t="shared" si="127"/>
        <v>32573.682224999993</v>
      </c>
    </row>
    <row r="271" spans="2:19" x14ac:dyDescent="0.35">
      <c r="B271">
        <v>110</v>
      </c>
      <c r="C271" t="s">
        <v>158</v>
      </c>
      <c r="D271" t="s">
        <v>101</v>
      </c>
      <c r="E271">
        <v>1001008</v>
      </c>
      <c r="F271" t="s">
        <v>81</v>
      </c>
      <c r="G271" s="13">
        <f t="shared" si="115"/>
        <v>3073.9243499999998</v>
      </c>
      <c r="H271" s="13">
        <f t="shared" si="116"/>
        <v>2776.4477999999999</v>
      </c>
      <c r="I271" s="13">
        <f t="shared" si="117"/>
        <v>3073.9243499999998</v>
      </c>
      <c r="J271" s="13">
        <f t="shared" si="118"/>
        <v>2974.7655</v>
      </c>
      <c r="K271" s="13">
        <f t="shared" si="119"/>
        <v>3073.9243499999998</v>
      </c>
      <c r="L271" s="13">
        <f t="shared" si="120"/>
        <v>2974.7655</v>
      </c>
      <c r="M271" s="13">
        <f t="shared" si="121"/>
        <v>3073.9243499999998</v>
      </c>
      <c r="N271" s="13">
        <f t="shared" si="122"/>
        <v>3073.9243499999998</v>
      </c>
      <c r="O271" s="13">
        <f t="shared" si="123"/>
        <v>2974.7655</v>
      </c>
      <c r="P271" s="13">
        <f t="shared" si="124"/>
        <v>3073.9243499999998</v>
      </c>
      <c r="Q271" s="13">
        <f t="shared" si="125"/>
        <v>2974.7655</v>
      </c>
      <c r="R271" s="13">
        <f t="shared" si="126"/>
        <v>3073.9243499999998</v>
      </c>
      <c r="S271" s="5">
        <f t="shared" si="127"/>
        <v>36192.980250000001</v>
      </c>
    </row>
    <row r="272" spans="2:19" x14ac:dyDescent="0.35">
      <c r="B272">
        <v>110</v>
      </c>
      <c r="C272" t="s">
        <v>158</v>
      </c>
      <c r="D272" t="s">
        <v>101</v>
      </c>
      <c r="E272">
        <v>1001009</v>
      </c>
      <c r="F272" t="s">
        <v>80</v>
      </c>
      <c r="G272" s="13">
        <f t="shared" si="115"/>
        <v>1844.3546099999996</v>
      </c>
      <c r="H272" s="13">
        <f t="shared" si="116"/>
        <v>1665.8686799999998</v>
      </c>
      <c r="I272" s="13">
        <f t="shared" si="117"/>
        <v>1844.3546099999996</v>
      </c>
      <c r="J272" s="13">
        <f t="shared" si="118"/>
        <v>1784.8592999999998</v>
      </c>
      <c r="K272" s="13">
        <f t="shared" si="119"/>
        <v>1844.3546099999996</v>
      </c>
      <c r="L272" s="13">
        <f t="shared" si="120"/>
        <v>1784.8592999999998</v>
      </c>
      <c r="M272" s="13">
        <f t="shared" si="121"/>
        <v>1844.3546099999996</v>
      </c>
      <c r="N272" s="13">
        <f t="shared" si="122"/>
        <v>1844.3546099999996</v>
      </c>
      <c r="O272" s="13">
        <f t="shared" si="123"/>
        <v>1784.8592999999998</v>
      </c>
      <c r="P272" s="13">
        <f t="shared" si="124"/>
        <v>1844.3546099999996</v>
      </c>
      <c r="Q272" s="13">
        <f t="shared" si="125"/>
        <v>1784.8592999999998</v>
      </c>
      <c r="R272" s="13">
        <f t="shared" si="126"/>
        <v>1844.3546099999996</v>
      </c>
      <c r="S272" s="5">
        <f t="shared" si="127"/>
        <v>21715.788149999997</v>
      </c>
    </row>
    <row r="273" spans="2:19" x14ac:dyDescent="0.35">
      <c r="B273">
        <v>110</v>
      </c>
      <c r="C273" t="s">
        <v>158</v>
      </c>
      <c r="D273" t="s">
        <v>102</v>
      </c>
      <c r="E273">
        <v>1002001</v>
      </c>
      <c r="F273" s="11" t="s">
        <v>83</v>
      </c>
      <c r="G273" s="13">
        <f t="shared" si="115"/>
        <v>12112.5</v>
      </c>
      <c r="H273" s="13">
        <f t="shared" si="116"/>
        <v>12112.5</v>
      </c>
      <c r="I273" s="13">
        <f t="shared" si="117"/>
        <v>12112.5</v>
      </c>
      <c r="J273" s="13">
        <f t="shared" si="118"/>
        <v>12112.5</v>
      </c>
      <c r="K273" s="13">
        <f t="shared" si="119"/>
        <v>12112.5</v>
      </c>
      <c r="L273" s="13">
        <f t="shared" si="120"/>
        <v>12112.5</v>
      </c>
      <c r="M273" s="13">
        <f t="shared" si="121"/>
        <v>12112.5</v>
      </c>
      <c r="N273" s="13">
        <f t="shared" si="122"/>
        <v>12112.5</v>
      </c>
      <c r="O273" s="13">
        <f t="shared" si="123"/>
        <v>12112.5</v>
      </c>
      <c r="P273" s="13">
        <f t="shared" si="124"/>
        <v>12112.5</v>
      </c>
      <c r="Q273" s="13">
        <f t="shared" si="125"/>
        <v>12112.5</v>
      </c>
      <c r="R273" s="13">
        <f t="shared" si="126"/>
        <v>12112.5</v>
      </c>
      <c r="S273" s="5">
        <f t="shared" si="127"/>
        <v>145350</v>
      </c>
    </row>
    <row r="274" spans="2:19" x14ac:dyDescent="0.35">
      <c r="B274">
        <v>110</v>
      </c>
      <c r="C274" t="s">
        <v>158</v>
      </c>
      <c r="D274" t="s">
        <v>102</v>
      </c>
      <c r="E274">
        <v>1002002</v>
      </c>
      <c r="F274" s="11" t="s">
        <v>84</v>
      </c>
      <c r="G274" s="13">
        <f t="shared" si="115"/>
        <v>1537.5</v>
      </c>
      <c r="H274" s="13">
        <f t="shared" si="116"/>
        <v>1537.5</v>
      </c>
      <c r="I274" s="13">
        <f t="shared" si="117"/>
        <v>1537.5</v>
      </c>
      <c r="J274" s="13">
        <f t="shared" si="118"/>
        <v>1537.5</v>
      </c>
      <c r="K274" s="13">
        <f t="shared" si="119"/>
        <v>1537.5</v>
      </c>
      <c r="L274" s="13">
        <f t="shared" si="120"/>
        <v>1537.5</v>
      </c>
      <c r="M274" s="13">
        <f t="shared" si="121"/>
        <v>1537.5</v>
      </c>
      <c r="N274" s="13">
        <f t="shared" si="122"/>
        <v>1537.5</v>
      </c>
      <c r="O274" s="13">
        <f t="shared" si="123"/>
        <v>1537.5</v>
      </c>
      <c r="P274" s="13">
        <f t="shared" si="124"/>
        <v>1537.5</v>
      </c>
      <c r="Q274" s="13">
        <f t="shared" si="125"/>
        <v>1537.5</v>
      </c>
      <c r="R274" s="13">
        <f t="shared" si="126"/>
        <v>1537.5</v>
      </c>
      <c r="S274" s="5">
        <f t="shared" si="127"/>
        <v>18450</v>
      </c>
    </row>
    <row r="275" spans="2:19" x14ac:dyDescent="0.35">
      <c r="B275">
        <v>110</v>
      </c>
      <c r="C275" t="s">
        <v>158</v>
      </c>
      <c r="D275" t="s">
        <v>102</v>
      </c>
      <c r="E275">
        <v>1002003</v>
      </c>
      <c r="F275" s="11" t="s">
        <v>85</v>
      </c>
      <c r="G275" s="13">
        <f t="shared" si="115"/>
        <v>0</v>
      </c>
      <c r="H275" s="13">
        <f t="shared" si="116"/>
        <v>0</v>
      </c>
      <c r="I275" s="13">
        <f t="shared" si="117"/>
        <v>0</v>
      </c>
      <c r="J275" s="13">
        <f t="shared" si="118"/>
        <v>0</v>
      </c>
      <c r="K275" s="13">
        <f t="shared" si="119"/>
        <v>0</v>
      </c>
      <c r="L275" s="13">
        <f t="shared" si="120"/>
        <v>0</v>
      </c>
      <c r="M275" s="13">
        <f t="shared" si="121"/>
        <v>0</v>
      </c>
      <c r="N275" s="13">
        <f t="shared" si="122"/>
        <v>0</v>
      </c>
      <c r="O275" s="13">
        <f t="shared" si="123"/>
        <v>0</v>
      </c>
      <c r="P275" s="13">
        <f t="shared" si="124"/>
        <v>0</v>
      </c>
      <c r="Q275" s="13">
        <f t="shared" si="125"/>
        <v>0</v>
      </c>
      <c r="R275" s="13">
        <f t="shared" si="126"/>
        <v>0</v>
      </c>
      <c r="S275" s="5">
        <f t="shared" si="127"/>
        <v>0</v>
      </c>
    </row>
    <row r="276" spans="2:19" x14ac:dyDescent="0.35">
      <c r="B276">
        <v>110</v>
      </c>
      <c r="C276" t="s">
        <v>158</v>
      </c>
      <c r="D276" t="s">
        <v>102</v>
      </c>
      <c r="E276">
        <v>1002004</v>
      </c>
      <c r="F276" s="11" t="s">
        <v>86</v>
      </c>
      <c r="G276" s="13">
        <f t="shared" si="115"/>
        <v>1200</v>
      </c>
      <c r="H276" s="13">
        <f t="shared" si="116"/>
        <v>1200</v>
      </c>
      <c r="I276" s="13">
        <f t="shared" si="117"/>
        <v>1200</v>
      </c>
      <c r="J276" s="13">
        <f t="shared" si="118"/>
        <v>1200</v>
      </c>
      <c r="K276" s="13">
        <f t="shared" si="119"/>
        <v>1200</v>
      </c>
      <c r="L276" s="13">
        <f t="shared" si="120"/>
        <v>1200</v>
      </c>
      <c r="M276" s="13">
        <f t="shared" si="121"/>
        <v>1200</v>
      </c>
      <c r="N276" s="13">
        <f t="shared" si="122"/>
        <v>1200</v>
      </c>
      <c r="O276" s="13">
        <f t="shared" si="123"/>
        <v>1200</v>
      </c>
      <c r="P276" s="13">
        <f t="shared" si="124"/>
        <v>1200</v>
      </c>
      <c r="Q276" s="13">
        <f t="shared" si="125"/>
        <v>1200</v>
      </c>
      <c r="R276" s="13">
        <f t="shared" si="126"/>
        <v>1200</v>
      </c>
      <c r="S276" s="5">
        <f t="shared" si="127"/>
        <v>14400</v>
      </c>
    </row>
    <row r="277" spans="2:19" x14ac:dyDescent="0.35">
      <c r="B277">
        <v>110</v>
      </c>
      <c r="C277" t="s">
        <v>158</v>
      </c>
      <c r="D277" t="s">
        <v>102</v>
      </c>
      <c r="E277">
        <v>1002005</v>
      </c>
      <c r="F277" s="11" t="s">
        <v>87</v>
      </c>
      <c r="G277" s="13">
        <f t="shared" si="115"/>
        <v>800</v>
      </c>
      <c r="H277" s="13">
        <f t="shared" si="116"/>
        <v>800</v>
      </c>
      <c r="I277" s="13">
        <f t="shared" si="117"/>
        <v>800</v>
      </c>
      <c r="J277" s="13">
        <f t="shared" si="118"/>
        <v>800</v>
      </c>
      <c r="K277" s="13">
        <f t="shared" si="119"/>
        <v>800</v>
      </c>
      <c r="L277" s="13">
        <f t="shared" si="120"/>
        <v>800</v>
      </c>
      <c r="M277" s="13">
        <f t="shared" si="121"/>
        <v>800</v>
      </c>
      <c r="N277" s="13">
        <f t="shared" si="122"/>
        <v>800</v>
      </c>
      <c r="O277" s="13">
        <f t="shared" si="123"/>
        <v>800</v>
      </c>
      <c r="P277" s="13">
        <f t="shared" si="124"/>
        <v>800</v>
      </c>
      <c r="Q277" s="13">
        <f t="shared" si="125"/>
        <v>800</v>
      </c>
      <c r="R277" s="13">
        <f t="shared" si="126"/>
        <v>800</v>
      </c>
      <c r="S277" s="5">
        <f t="shared" si="127"/>
        <v>9600</v>
      </c>
    </row>
    <row r="278" spans="2:19" x14ac:dyDescent="0.35">
      <c r="B278">
        <v>110</v>
      </c>
      <c r="C278" t="s">
        <v>158</v>
      </c>
      <c r="D278" t="s">
        <v>102</v>
      </c>
      <c r="E278">
        <v>1002006</v>
      </c>
      <c r="F278" s="11" t="s">
        <v>88</v>
      </c>
      <c r="G278" s="13">
        <f t="shared" si="115"/>
        <v>300</v>
      </c>
      <c r="H278" s="13">
        <f t="shared" si="116"/>
        <v>300</v>
      </c>
      <c r="I278" s="13">
        <f t="shared" si="117"/>
        <v>300</v>
      </c>
      <c r="J278" s="13">
        <f t="shared" si="118"/>
        <v>300</v>
      </c>
      <c r="K278" s="13">
        <f t="shared" si="119"/>
        <v>300</v>
      </c>
      <c r="L278" s="13">
        <f t="shared" si="120"/>
        <v>300</v>
      </c>
      <c r="M278" s="13">
        <f t="shared" si="121"/>
        <v>300</v>
      </c>
      <c r="N278" s="13">
        <f t="shared" si="122"/>
        <v>300</v>
      </c>
      <c r="O278" s="13">
        <f t="shared" si="123"/>
        <v>300</v>
      </c>
      <c r="P278" s="13">
        <f t="shared" si="124"/>
        <v>300</v>
      </c>
      <c r="Q278" s="13">
        <f t="shared" si="125"/>
        <v>300</v>
      </c>
      <c r="R278" s="13">
        <f t="shared" si="126"/>
        <v>300</v>
      </c>
      <c r="S278" s="5">
        <f t="shared" si="127"/>
        <v>3600</v>
      </c>
    </row>
    <row r="279" spans="2:19" x14ac:dyDescent="0.35">
      <c r="B279">
        <v>110</v>
      </c>
      <c r="C279" t="s">
        <v>158</v>
      </c>
      <c r="D279" t="s">
        <v>100</v>
      </c>
      <c r="E279">
        <v>1003001</v>
      </c>
      <c r="F279" t="s">
        <v>82</v>
      </c>
      <c r="G279" s="13">
        <f t="shared" si="115"/>
        <v>30750</v>
      </c>
      <c r="H279" s="13">
        <f t="shared" si="116"/>
        <v>30750</v>
      </c>
      <c r="I279" s="13">
        <f t="shared" si="117"/>
        <v>30750</v>
      </c>
      <c r="J279" s="13">
        <f t="shared" si="118"/>
        <v>30750</v>
      </c>
      <c r="K279" s="13">
        <f t="shared" si="119"/>
        <v>30750</v>
      </c>
      <c r="L279" s="13">
        <f t="shared" si="120"/>
        <v>30750</v>
      </c>
      <c r="M279" s="13">
        <f t="shared" si="121"/>
        <v>30750</v>
      </c>
      <c r="N279" s="13">
        <f t="shared" si="122"/>
        <v>30750</v>
      </c>
      <c r="O279" s="13">
        <f t="shared" si="123"/>
        <v>30750</v>
      </c>
      <c r="P279" s="13">
        <f t="shared" si="124"/>
        <v>30750</v>
      </c>
      <c r="Q279" s="13">
        <f t="shared" si="125"/>
        <v>30750</v>
      </c>
      <c r="R279" s="13">
        <f t="shared" si="126"/>
        <v>30750</v>
      </c>
      <c r="S279" s="5">
        <f t="shared" si="127"/>
        <v>369000</v>
      </c>
    </row>
    <row r="280" spans="2:19" x14ac:dyDescent="0.35">
      <c r="B280">
        <v>110</v>
      </c>
      <c r="C280" t="s">
        <v>158</v>
      </c>
      <c r="D280" t="s">
        <v>100</v>
      </c>
      <c r="E280">
        <v>1003002</v>
      </c>
      <c r="F280" t="s">
        <v>74</v>
      </c>
      <c r="G280" s="13">
        <f t="shared" si="115"/>
        <v>0</v>
      </c>
      <c r="H280" s="13">
        <f t="shared" si="116"/>
        <v>0</v>
      </c>
      <c r="I280" s="13">
        <f t="shared" si="117"/>
        <v>0</v>
      </c>
      <c r="J280" s="13">
        <f t="shared" si="118"/>
        <v>0</v>
      </c>
      <c r="K280" s="13">
        <f t="shared" si="119"/>
        <v>0</v>
      </c>
      <c r="L280" s="13">
        <f t="shared" si="120"/>
        <v>0</v>
      </c>
      <c r="M280" s="13">
        <f t="shared" si="121"/>
        <v>0</v>
      </c>
      <c r="N280" s="13">
        <f t="shared" si="122"/>
        <v>0</v>
      </c>
      <c r="O280" s="13">
        <f t="shared" si="123"/>
        <v>0</v>
      </c>
      <c r="P280" s="13">
        <f t="shared" si="124"/>
        <v>0</v>
      </c>
      <c r="Q280" s="13">
        <f t="shared" si="125"/>
        <v>0</v>
      </c>
      <c r="R280" s="13">
        <f t="shared" si="126"/>
        <v>0</v>
      </c>
      <c r="S280" s="5">
        <f t="shared" si="127"/>
        <v>0</v>
      </c>
    </row>
    <row r="281" spans="2:19" x14ac:dyDescent="0.35">
      <c r="B281">
        <v>110</v>
      </c>
      <c r="C281" t="s">
        <v>158</v>
      </c>
      <c r="D281" t="s">
        <v>100</v>
      </c>
      <c r="E281">
        <v>1003003</v>
      </c>
      <c r="F281" t="s">
        <v>77</v>
      </c>
      <c r="G281" s="13">
        <f t="shared" si="115"/>
        <v>0</v>
      </c>
      <c r="H281" s="13">
        <f t="shared" si="116"/>
        <v>0</v>
      </c>
      <c r="I281" s="13">
        <f t="shared" si="117"/>
        <v>0</v>
      </c>
      <c r="J281" s="13">
        <f t="shared" si="118"/>
        <v>0</v>
      </c>
      <c r="K281" s="13">
        <f t="shared" si="119"/>
        <v>0</v>
      </c>
      <c r="L281" s="13">
        <f t="shared" si="120"/>
        <v>0</v>
      </c>
      <c r="M281" s="13">
        <f t="shared" si="121"/>
        <v>0</v>
      </c>
      <c r="N281" s="13">
        <f t="shared" si="122"/>
        <v>0</v>
      </c>
      <c r="O281" s="13">
        <f t="shared" si="123"/>
        <v>0</v>
      </c>
      <c r="P281" s="13">
        <f t="shared" si="124"/>
        <v>0</v>
      </c>
      <c r="Q281" s="13">
        <f t="shared" si="125"/>
        <v>0</v>
      </c>
      <c r="R281" s="13">
        <f t="shared" si="126"/>
        <v>0</v>
      </c>
      <c r="S281" s="5">
        <f t="shared" si="127"/>
        <v>0</v>
      </c>
    </row>
    <row r="282" spans="2:19" x14ac:dyDescent="0.35">
      <c r="B282">
        <v>110</v>
      </c>
      <c r="C282" t="s">
        <v>158</v>
      </c>
      <c r="D282" t="s">
        <v>100</v>
      </c>
      <c r="E282">
        <v>1003004</v>
      </c>
      <c r="F282" t="s">
        <v>75</v>
      </c>
      <c r="G282" s="13">
        <f t="shared" si="115"/>
        <v>309.97983870967744</v>
      </c>
      <c r="H282" s="13">
        <f t="shared" si="116"/>
        <v>343.19196428571428</v>
      </c>
      <c r="I282" s="13">
        <f t="shared" si="117"/>
        <v>309.97983870967744</v>
      </c>
      <c r="J282" s="13">
        <f t="shared" si="118"/>
        <v>320.3125</v>
      </c>
      <c r="K282" s="13">
        <f t="shared" si="119"/>
        <v>309.97983870967744</v>
      </c>
      <c r="L282" s="13">
        <f t="shared" si="120"/>
        <v>320.3125</v>
      </c>
      <c r="M282" s="13">
        <f t="shared" si="121"/>
        <v>309.97983870967744</v>
      </c>
      <c r="N282" s="13">
        <f t="shared" si="122"/>
        <v>309.97983870967744</v>
      </c>
      <c r="O282" s="13">
        <f t="shared" si="123"/>
        <v>320.3125</v>
      </c>
      <c r="P282" s="13">
        <f t="shared" si="124"/>
        <v>309.97983870967744</v>
      </c>
      <c r="Q282" s="13">
        <f t="shared" si="125"/>
        <v>320.3125</v>
      </c>
      <c r="R282" s="13">
        <f t="shared" si="126"/>
        <v>309.97983870967744</v>
      </c>
      <c r="S282" s="5">
        <f t="shared" si="127"/>
        <v>3794.3008352534571</v>
      </c>
    </row>
    <row r="283" spans="2:19" x14ac:dyDescent="0.35">
      <c r="B283">
        <v>110</v>
      </c>
      <c r="C283" t="s">
        <v>158</v>
      </c>
      <c r="D283" t="s">
        <v>100</v>
      </c>
      <c r="E283">
        <v>1003005</v>
      </c>
      <c r="F283" t="s">
        <v>76</v>
      </c>
      <c r="G283" s="13">
        <f t="shared" si="115"/>
        <v>1239.9193548387098</v>
      </c>
      <c r="H283" s="13">
        <f t="shared" si="116"/>
        <v>1372.7678571428571</v>
      </c>
      <c r="I283" s="13">
        <f t="shared" si="117"/>
        <v>1239.9193548387098</v>
      </c>
      <c r="J283" s="13">
        <f t="shared" si="118"/>
        <v>1281.25</v>
      </c>
      <c r="K283" s="13">
        <f t="shared" si="119"/>
        <v>1239.9193548387098</v>
      </c>
      <c r="L283" s="13">
        <f t="shared" si="120"/>
        <v>1281.25</v>
      </c>
      <c r="M283" s="13">
        <f t="shared" si="121"/>
        <v>1239.9193548387098</v>
      </c>
      <c r="N283" s="13">
        <f t="shared" si="122"/>
        <v>1239.9193548387098</v>
      </c>
      <c r="O283" s="13">
        <f t="shared" si="123"/>
        <v>1281.25</v>
      </c>
      <c r="P283" s="13">
        <f t="shared" si="124"/>
        <v>1239.9193548387098</v>
      </c>
      <c r="Q283" s="13">
        <f t="shared" si="125"/>
        <v>1281.25</v>
      </c>
      <c r="R283" s="13">
        <f t="shared" si="126"/>
        <v>1239.9193548387098</v>
      </c>
      <c r="S283" s="5">
        <f t="shared" si="127"/>
        <v>15177.203341013828</v>
      </c>
    </row>
    <row r="284" spans="2:19" x14ac:dyDescent="0.35">
      <c r="B284">
        <v>110</v>
      </c>
      <c r="C284" t="s">
        <v>158</v>
      </c>
      <c r="D284" t="s">
        <v>100</v>
      </c>
      <c r="E284">
        <v>1003006</v>
      </c>
      <c r="F284" t="s">
        <v>78</v>
      </c>
      <c r="G284" s="13">
        <f t="shared" si="115"/>
        <v>6453.1949999999997</v>
      </c>
      <c r="H284" s="13">
        <f t="shared" si="116"/>
        <v>6453.1949999999997</v>
      </c>
      <c r="I284" s="13">
        <f t="shared" si="117"/>
        <v>6453.1949999999997</v>
      </c>
      <c r="J284" s="13">
        <f t="shared" si="118"/>
        <v>6453.1949999999997</v>
      </c>
      <c r="K284" s="13">
        <f t="shared" si="119"/>
        <v>6453.1949999999997</v>
      </c>
      <c r="L284" s="13">
        <f t="shared" si="120"/>
        <v>6453.1949999999997</v>
      </c>
      <c r="M284" s="13">
        <f t="shared" si="121"/>
        <v>6453.1949999999997</v>
      </c>
      <c r="N284" s="13">
        <f t="shared" si="122"/>
        <v>6453.1949999999997</v>
      </c>
      <c r="O284" s="13">
        <f t="shared" si="123"/>
        <v>6453.1949999999997</v>
      </c>
      <c r="P284" s="13">
        <f t="shared" si="124"/>
        <v>6453.1949999999997</v>
      </c>
      <c r="Q284" s="13">
        <f t="shared" si="125"/>
        <v>6453.1949999999997</v>
      </c>
      <c r="R284" s="13">
        <f t="shared" si="126"/>
        <v>6453.1949999999997</v>
      </c>
      <c r="S284" s="5">
        <f t="shared" si="127"/>
        <v>77438.34</v>
      </c>
    </row>
    <row r="285" spans="2:19" x14ac:dyDescent="0.35">
      <c r="B285">
        <v>110</v>
      </c>
      <c r="C285" t="s">
        <v>158</v>
      </c>
      <c r="D285" t="s">
        <v>100</v>
      </c>
      <c r="E285">
        <v>1003007</v>
      </c>
      <c r="F285" t="s">
        <v>79</v>
      </c>
      <c r="G285" s="13">
        <f t="shared" si="115"/>
        <v>1451.968875</v>
      </c>
      <c r="H285" s="13">
        <f t="shared" si="116"/>
        <v>1451.968875</v>
      </c>
      <c r="I285" s="13">
        <f t="shared" si="117"/>
        <v>1451.968875</v>
      </c>
      <c r="J285" s="13">
        <f t="shared" si="118"/>
        <v>1451.968875</v>
      </c>
      <c r="K285" s="13">
        <f t="shared" si="119"/>
        <v>1451.968875</v>
      </c>
      <c r="L285" s="13">
        <f t="shared" si="120"/>
        <v>1451.968875</v>
      </c>
      <c r="M285" s="13">
        <f t="shared" si="121"/>
        <v>1451.968875</v>
      </c>
      <c r="N285" s="13">
        <f t="shared" si="122"/>
        <v>1451.968875</v>
      </c>
      <c r="O285" s="13">
        <f t="shared" si="123"/>
        <v>1451.968875</v>
      </c>
      <c r="P285" s="13">
        <f t="shared" si="124"/>
        <v>1451.968875</v>
      </c>
      <c r="Q285" s="13">
        <f t="shared" si="125"/>
        <v>1451.968875</v>
      </c>
      <c r="R285" s="13">
        <f t="shared" si="126"/>
        <v>1451.968875</v>
      </c>
      <c r="S285" s="5">
        <f t="shared" si="127"/>
        <v>17423.626500000002</v>
      </c>
    </row>
    <row r="286" spans="2:19" x14ac:dyDescent="0.35">
      <c r="B286">
        <v>110</v>
      </c>
      <c r="C286" t="s">
        <v>158</v>
      </c>
      <c r="D286" t="s">
        <v>100</v>
      </c>
      <c r="E286">
        <v>1003008</v>
      </c>
      <c r="F286" t="s">
        <v>81</v>
      </c>
      <c r="G286" s="13">
        <f t="shared" si="115"/>
        <v>1613.2987499999999</v>
      </c>
      <c r="H286" s="13">
        <f t="shared" si="116"/>
        <v>1613.2987499999999</v>
      </c>
      <c r="I286" s="13">
        <f t="shared" si="117"/>
        <v>1613.2987499999999</v>
      </c>
      <c r="J286" s="13">
        <f t="shared" si="118"/>
        <v>1613.2987499999999</v>
      </c>
      <c r="K286" s="13">
        <f t="shared" si="119"/>
        <v>1613.2987499999999</v>
      </c>
      <c r="L286" s="13">
        <f t="shared" si="120"/>
        <v>1613.2987499999999</v>
      </c>
      <c r="M286" s="13">
        <f t="shared" si="121"/>
        <v>1613.2987499999999</v>
      </c>
      <c r="N286" s="13">
        <f t="shared" si="122"/>
        <v>1613.2987499999999</v>
      </c>
      <c r="O286" s="13">
        <f t="shared" si="123"/>
        <v>1613.2987499999999</v>
      </c>
      <c r="P286" s="13">
        <f t="shared" si="124"/>
        <v>1613.2987499999999</v>
      </c>
      <c r="Q286" s="13">
        <f t="shared" si="125"/>
        <v>1613.2987499999999</v>
      </c>
      <c r="R286" s="13">
        <f t="shared" si="126"/>
        <v>1613.2987499999999</v>
      </c>
      <c r="S286" s="5">
        <f t="shared" si="127"/>
        <v>19359.584999999999</v>
      </c>
    </row>
    <row r="287" spans="2:19" x14ac:dyDescent="0.35">
      <c r="B287">
        <v>110</v>
      </c>
      <c r="C287" t="s">
        <v>158</v>
      </c>
      <c r="D287" t="s">
        <v>100</v>
      </c>
      <c r="E287">
        <v>1003009</v>
      </c>
      <c r="F287" t="s">
        <v>80</v>
      </c>
      <c r="G287" s="13">
        <f t="shared" si="115"/>
        <v>967.97924999999987</v>
      </c>
      <c r="H287" s="13">
        <f t="shared" si="116"/>
        <v>967.97924999999987</v>
      </c>
      <c r="I287" s="13">
        <f t="shared" si="117"/>
        <v>967.97924999999987</v>
      </c>
      <c r="J287" s="13">
        <f t="shared" si="118"/>
        <v>967.97924999999987</v>
      </c>
      <c r="K287" s="13">
        <f t="shared" si="119"/>
        <v>967.97924999999987</v>
      </c>
      <c r="L287" s="13">
        <f t="shared" si="120"/>
        <v>967.97924999999987</v>
      </c>
      <c r="M287" s="13">
        <f t="shared" si="121"/>
        <v>967.97924999999987</v>
      </c>
      <c r="N287" s="13">
        <f t="shared" si="122"/>
        <v>967.97924999999987</v>
      </c>
      <c r="O287" s="13">
        <f t="shared" si="123"/>
        <v>967.97924999999987</v>
      </c>
      <c r="P287" s="13">
        <f t="shared" si="124"/>
        <v>967.97924999999987</v>
      </c>
      <c r="Q287" s="13">
        <f t="shared" si="125"/>
        <v>967.97924999999987</v>
      </c>
      <c r="R287" s="13">
        <f t="shared" si="126"/>
        <v>967.97924999999987</v>
      </c>
      <c r="S287" s="5">
        <f t="shared" si="127"/>
        <v>11615.751000000002</v>
      </c>
    </row>
    <row r="288" spans="2:19" x14ac:dyDescent="0.35">
      <c r="B288">
        <v>110</v>
      </c>
      <c r="C288" t="s">
        <v>158</v>
      </c>
      <c r="D288" t="s">
        <v>100</v>
      </c>
      <c r="E288">
        <v>1003101</v>
      </c>
      <c r="F288" t="s">
        <v>89</v>
      </c>
      <c r="G288" s="13">
        <f t="shared" si="115"/>
        <v>15000</v>
      </c>
      <c r="H288" s="13">
        <f t="shared" si="116"/>
        <v>15000</v>
      </c>
      <c r="I288" s="13">
        <f t="shared" si="117"/>
        <v>15000</v>
      </c>
      <c r="J288" s="13">
        <f t="shared" si="118"/>
        <v>15000</v>
      </c>
      <c r="K288" s="13">
        <f t="shared" si="119"/>
        <v>15000</v>
      </c>
      <c r="L288" s="13">
        <f t="shared" si="120"/>
        <v>15000</v>
      </c>
      <c r="M288" s="13">
        <f t="shared" si="121"/>
        <v>15000</v>
      </c>
      <c r="N288" s="13">
        <f t="shared" si="122"/>
        <v>15000</v>
      </c>
      <c r="O288" s="13">
        <f t="shared" si="123"/>
        <v>15000</v>
      </c>
      <c r="P288" s="13">
        <f t="shared" si="124"/>
        <v>15000</v>
      </c>
      <c r="Q288" s="13">
        <f t="shared" si="125"/>
        <v>15000</v>
      </c>
      <c r="R288" s="13">
        <f t="shared" si="126"/>
        <v>15000</v>
      </c>
      <c r="S288" s="5">
        <f t="shared" si="127"/>
        <v>180000</v>
      </c>
    </row>
    <row r="289" spans="2:19" x14ac:dyDescent="0.35">
      <c r="B289">
        <v>110</v>
      </c>
      <c r="C289" t="s">
        <v>158</v>
      </c>
      <c r="D289" t="s">
        <v>100</v>
      </c>
      <c r="E289">
        <v>1003102</v>
      </c>
      <c r="F289" t="s">
        <v>90</v>
      </c>
      <c r="G289" s="13">
        <f t="shared" si="115"/>
        <v>250</v>
      </c>
      <c r="H289" s="13">
        <f t="shared" si="116"/>
        <v>250</v>
      </c>
      <c r="I289" s="13">
        <f t="shared" si="117"/>
        <v>250</v>
      </c>
      <c r="J289" s="13">
        <f t="shared" si="118"/>
        <v>250</v>
      </c>
      <c r="K289" s="13">
        <f t="shared" si="119"/>
        <v>250</v>
      </c>
      <c r="L289" s="13">
        <f t="shared" si="120"/>
        <v>250</v>
      </c>
      <c r="M289" s="13">
        <f t="shared" si="121"/>
        <v>250</v>
      </c>
      <c r="N289" s="13">
        <f t="shared" si="122"/>
        <v>250</v>
      </c>
      <c r="O289" s="13">
        <f t="shared" si="123"/>
        <v>250</v>
      </c>
      <c r="P289" s="13">
        <f t="shared" si="124"/>
        <v>250</v>
      </c>
      <c r="Q289" s="13">
        <f t="shared" si="125"/>
        <v>250</v>
      </c>
      <c r="R289" s="13">
        <f t="shared" si="126"/>
        <v>250</v>
      </c>
      <c r="S289" s="5">
        <f t="shared" si="127"/>
        <v>3000</v>
      </c>
    </row>
    <row r="290" spans="2:19" x14ac:dyDescent="0.35">
      <c r="B290">
        <v>110</v>
      </c>
      <c r="C290" t="s">
        <v>158</v>
      </c>
      <c r="D290" t="s">
        <v>100</v>
      </c>
      <c r="E290">
        <v>1003103</v>
      </c>
      <c r="F290" t="s">
        <v>91</v>
      </c>
      <c r="G290" s="13">
        <f t="shared" si="115"/>
        <v>175</v>
      </c>
      <c r="H290" s="13">
        <f t="shared" si="116"/>
        <v>175</v>
      </c>
      <c r="I290" s="13">
        <f t="shared" si="117"/>
        <v>175</v>
      </c>
      <c r="J290" s="13">
        <f t="shared" si="118"/>
        <v>175</v>
      </c>
      <c r="K290" s="13">
        <f t="shared" si="119"/>
        <v>175</v>
      </c>
      <c r="L290" s="13">
        <f t="shared" si="120"/>
        <v>175</v>
      </c>
      <c r="M290" s="13">
        <f t="shared" si="121"/>
        <v>175</v>
      </c>
      <c r="N290" s="13">
        <f t="shared" si="122"/>
        <v>175</v>
      </c>
      <c r="O290" s="13">
        <f t="shared" si="123"/>
        <v>175</v>
      </c>
      <c r="P290" s="13">
        <f t="shared" si="124"/>
        <v>175</v>
      </c>
      <c r="Q290" s="13">
        <f t="shared" si="125"/>
        <v>175</v>
      </c>
      <c r="R290" s="13">
        <f t="shared" si="126"/>
        <v>175</v>
      </c>
      <c r="S290" s="5">
        <f t="shared" si="127"/>
        <v>2100</v>
      </c>
    </row>
    <row r="291" spans="2:19" x14ac:dyDescent="0.35">
      <c r="B291">
        <v>110</v>
      </c>
      <c r="C291" t="s">
        <v>158</v>
      </c>
      <c r="D291" t="s">
        <v>100</v>
      </c>
      <c r="E291">
        <v>1003104</v>
      </c>
      <c r="F291" t="s">
        <v>92</v>
      </c>
      <c r="G291" s="13">
        <f t="shared" si="115"/>
        <v>1200</v>
      </c>
      <c r="H291" s="13">
        <f t="shared" si="116"/>
        <v>1200</v>
      </c>
      <c r="I291" s="13">
        <f t="shared" si="117"/>
        <v>1200</v>
      </c>
      <c r="J291" s="13">
        <f t="shared" si="118"/>
        <v>1200</v>
      </c>
      <c r="K291" s="13">
        <f t="shared" si="119"/>
        <v>1200</v>
      </c>
      <c r="L291" s="13">
        <f t="shared" si="120"/>
        <v>1200</v>
      </c>
      <c r="M291" s="13">
        <f t="shared" si="121"/>
        <v>1200</v>
      </c>
      <c r="N291" s="13">
        <f t="shared" si="122"/>
        <v>1200</v>
      </c>
      <c r="O291" s="13">
        <f t="shared" si="123"/>
        <v>1200</v>
      </c>
      <c r="P291" s="13">
        <f t="shared" si="124"/>
        <v>1200</v>
      </c>
      <c r="Q291" s="13">
        <f t="shared" si="125"/>
        <v>1200</v>
      </c>
      <c r="R291" s="13">
        <f t="shared" si="126"/>
        <v>1200</v>
      </c>
      <c r="S291" s="5">
        <f t="shared" si="127"/>
        <v>14400</v>
      </c>
    </row>
    <row r="292" spans="2:19" x14ac:dyDescent="0.35">
      <c r="C292" t="s">
        <v>96</v>
      </c>
      <c r="G292" s="5">
        <f>SUM(G264:G291)</f>
        <v>156884.97434354838</v>
      </c>
      <c r="H292" s="5">
        <f t="shared" ref="H292" si="128">SUM(H264:H291)</f>
        <v>149447.43739642858</v>
      </c>
      <c r="I292" s="5">
        <f t="shared" ref="I292" si="129">SUM(I264:I291)</f>
        <v>156884.97434354838</v>
      </c>
      <c r="J292" s="5">
        <f t="shared" ref="J292" si="130">SUM(J264:J291)</f>
        <v>154402.10512499997</v>
      </c>
      <c r="K292" s="5">
        <f t="shared" ref="K292" si="131">SUM(K264:K291)</f>
        <v>156884.97434354838</v>
      </c>
      <c r="L292" s="5">
        <f t="shared" ref="L292" si="132">SUM(L264:L291)</f>
        <v>154402.10512499997</v>
      </c>
      <c r="M292" s="5">
        <f t="shared" ref="M292" si="133">SUM(M264:M291)</f>
        <v>156884.97434354838</v>
      </c>
      <c r="N292" s="5">
        <f t="shared" ref="N292" si="134">SUM(N264:N291)</f>
        <v>156884.97434354838</v>
      </c>
      <c r="O292" s="5">
        <f t="shared" ref="O292" si="135">SUM(O264:O291)</f>
        <v>154402.10512499997</v>
      </c>
      <c r="P292" s="5">
        <f t="shared" ref="P292" si="136">SUM(P264:P291)</f>
        <v>156884.97434354838</v>
      </c>
      <c r="Q292" s="5">
        <f t="shared" ref="Q292" si="137">SUM(Q264:Q291)</f>
        <v>154402.10512499997</v>
      </c>
      <c r="R292" s="5">
        <f t="shared" ref="R292" si="138">SUM(R264:R291)</f>
        <v>156884.97434354838</v>
      </c>
      <c r="S292" s="5">
        <f t="shared" ref="S292" si="139">SUM(S264:S291)</f>
        <v>1865250.6783012673</v>
      </c>
    </row>
    <row r="293" spans="2:19" x14ac:dyDescent="0.35">
      <c r="S293" s="5">
        <f t="shared" ref="S293:S294" si="140">SUM(G293:R293)</f>
        <v>0</v>
      </c>
    </row>
    <row r="294" spans="2:19" x14ac:dyDescent="0.35">
      <c r="B294">
        <v>120</v>
      </c>
      <c r="C294" t="s">
        <v>159</v>
      </c>
      <c r="D294" t="s">
        <v>101</v>
      </c>
      <c r="E294">
        <v>1001001</v>
      </c>
      <c r="F294" t="s">
        <v>73</v>
      </c>
      <c r="G294" s="13">
        <f t="shared" ref="G294:G321" si="141">G64+((G94+G124+G154)*$G$228)</f>
        <v>58590</v>
      </c>
      <c r="H294" s="13">
        <f t="shared" ref="H294:H321" si="142">H64+((H94+H124+H154)*$H$228)</f>
        <v>52920</v>
      </c>
      <c r="I294" s="13">
        <f t="shared" ref="I294:I321" si="143">I64+((I94+I124+I154)*$I$228)</f>
        <v>58590</v>
      </c>
      <c r="J294" s="13">
        <f t="shared" ref="J294:J321" si="144">J64+((J94+J124+J154)*$J$228)</f>
        <v>56700</v>
      </c>
      <c r="K294" s="13">
        <f t="shared" ref="K294:K321" si="145">K64+((K94+K124+K154)*$K$228)</f>
        <v>58590</v>
      </c>
      <c r="L294" s="13">
        <f t="shared" ref="L294:L321" si="146">L64+((L94+L124+L154)*$L$228)</f>
        <v>56700</v>
      </c>
      <c r="M294" s="13">
        <f t="shared" ref="M294:M321" si="147">M64+((M94+M124+M154)*$M$228)</f>
        <v>58590</v>
      </c>
      <c r="N294" s="13">
        <f t="shared" ref="N294:N321" si="148">N64+((N94+N124+N154)*$N$228)</f>
        <v>58590</v>
      </c>
      <c r="O294" s="13">
        <f t="shared" ref="O294:O321" si="149">O64+((O94+O124+O154)*$O$228)</f>
        <v>56700</v>
      </c>
      <c r="P294" s="13">
        <f t="shared" ref="P294:P321" si="150">P64+((P94+P124+P154)*$P$228)</f>
        <v>58590</v>
      </c>
      <c r="Q294" s="13">
        <f t="shared" ref="Q294:Q321" si="151">Q64+((Q94+Q124+Q154)*$Q$228)</f>
        <v>56700</v>
      </c>
      <c r="R294" s="13">
        <f t="shared" ref="R294:R321" si="152">R64+((R94+R124+R154)*$R$228)</f>
        <v>58590</v>
      </c>
      <c r="S294" s="5">
        <f t="shared" si="140"/>
        <v>689850</v>
      </c>
    </row>
    <row r="295" spans="2:19" x14ac:dyDescent="0.35">
      <c r="B295">
        <v>120</v>
      </c>
      <c r="C295" t="s">
        <v>159</v>
      </c>
      <c r="D295" t="s">
        <v>101</v>
      </c>
      <c r="E295">
        <v>1001002</v>
      </c>
      <c r="F295" t="s">
        <v>74</v>
      </c>
      <c r="G295" s="13">
        <f t="shared" si="141"/>
        <v>0</v>
      </c>
      <c r="H295" s="13">
        <f t="shared" si="142"/>
        <v>0</v>
      </c>
      <c r="I295" s="13">
        <f t="shared" si="143"/>
        <v>0</v>
      </c>
      <c r="J295" s="13">
        <f t="shared" si="144"/>
        <v>0</v>
      </c>
      <c r="K295" s="13">
        <f t="shared" si="145"/>
        <v>0</v>
      </c>
      <c r="L295" s="13">
        <f t="shared" si="146"/>
        <v>0</v>
      </c>
      <c r="M295" s="13">
        <f t="shared" si="147"/>
        <v>0</v>
      </c>
      <c r="N295" s="13">
        <f t="shared" si="148"/>
        <v>0</v>
      </c>
      <c r="O295" s="13">
        <f t="shared" si="149"/>
        <v>0</v>
      </c>
      <c r="P295" s="13">
        <f t="shared" si="150"/>
        <v>0</v>
      </c>
      <c r="Q295" s="13">
        <f t="shared" si="151"/>
        <v>0</v>
      </c>
      <c r="R295" s="13">
        <f t="shared" si="152"/>
        <v>0</v>
      </c>
      <c r="S295" s="5">
        <f t="shared" ref="S295:S321" si="153">SUM(G295:R295)</f>
        <v>0</v>
      </c>
    </row>
    <row r="296" spans="2:19" x14ac:dyDescent="0.35">
      <c r="B296">
        <v>120</v>
      </c>
      <c r="C296" t="s">
        <v>159</v>
      </c>
      <c r="D296" t="s">
        <v>101</v>
      </c>
      <c r="E296">
        <v>1001003</v>
      </c>
      <c r="F296" t="s">
        <v>77</v>
      </c>
      <c r="G296" s="13">
        <f t="shared" si="141"/>
        <v>0</v>
      </c>
      <c r="H296" s="13">
        <f t="shared" si="142"/>
        <v>0</v>
      </c>
      <c r="I296" s="13">
        <f t="shared" si="143"/>
        <v>0</v>
      </c>
      <c r="J296" s="13">
        <f t="shared" si="144"/>
        <v>0</v>
      </c>
      <c r="K296" s="13">
        <f t="shared" si="145"/>
        <v>0</v>
      </c>
      <c r="L296" s="13">
        <f t="shared" si="146"/>
        <v>0</v>
      </c>
      <c r="M296" s="13">
        <f t="shared" si="147"/>
        <v>0</v>
      </c>
      <c r="N296" s="13">
        <f t="shared" si="148"/>
        <v>0</v>
      </c>
      <c r="O296" s="13">
        <f t="shared" si="149"/>
        <v>0</v>
      </c>
      <c r="P296" s="13">
        <f t="shared" si="150"/>
        <v>0</v>
      </c>
      <c r="Q296" s="13">
        <f t="shared" si="151"/>
        <v>0</v>
      </c>
      <c r="R296" s="13">
        <f t="shared" si="152"/>
        <v>0</v>
      </c>
      <c r="S296" s="5">
        <f t="shared" si="153"/>
        <v>0</v>
      </c>
    </row>
    <row r="297" spans="2:19" x14ac:dyDescent="0.35">
      <c r="B297">
        <v>120</v>
      </c>
      <c r="C297" t="s">
        <v>159</v>
      </c>
      <c r="D297" t="s">
        <v>101</v>
      </c>
      <c r="E297">
        <v>1001004</v>
      </c>
      <c r="F297" t="s">
        <v>75</v>
      </c>
      <c r="G297" s="13">
        <f t="shared" si="141"/>
        <v>590.625</v>
      </c>
      <c r="H297" s="13">
        <f t="shared" si="142"/>
        <v>590.625</v>
      </c>
      <c r="I297" s="13">
        <f t="shared" si="143"/>
        <v>590.625</v>
      </c>
      <c r="J297" s="13">
        <f t="shared" si="144"/>
        <v>590.625</v>
      </c>
      <c r="K297" s="13">
        <f t="shared" si="145"/>
        <v>590.625</v>
      </c>
      <c r="L297" s="13">
        <f t="shared" si="146"/>
        <v>590.625</v>
      </c>
      <c r="M297" s="13">
        <f t="shared" si="147"/>
        <v>590.625</v>
      </c>
      <c r="N297" s="13">
        <f t="shared" si="148"/>
        <v>590.625</v>
      </c>
      <c r="O297" s="13">
        <f t="shared" si="149"/>
        <v>590.625</v>
      </c>
      <c r="P297" s="13">
        <f t="shared" si="150"/>
        <v>590.625</v>
      </c>
      <c r="Q297" s="13">
        <f t="shared" si="151"/>
        <v>590.625</v>
      </c>
      <c r="R297" s="13">
        <f t="shared" si="152"/>
        <v>590.625</v>
      </c>
      <c r="S297" s="5">
        <f t="shared" si="153"/>
        <v>7087.5</v>
      </c>
    </row>
    <row r="298" spans="2:19" x14ac:dyDescent="0.35">
      <c r="B298">
        <v>120</v>
      </c>
      <c r="C298" t="s">
        <v>159</v>
      </c>
      <c r="D298" t="s">
        <v>101</v>
      </c>
      <c r="E298">
        <v>1001005</v>
      </c>
      <c r="F298" t="s">
        <v>76</v>
      </c>
      <c r="G298" s="13">
        <f t="shared" si="141"/>
        <v>2362.5</v>
      </c>
      <c r="H298" s="13">
        <f t="shared" si="142"/>
        <v>2362.5</v>
      </c>
      <c r="I298" s="13">
        <f t="shared" si="143"/>
        <v>2362.5</v>
      </c>
      <c r="J298" s="13">
        <f t="shared" si="144"/>
        <v>2362.5</v>
      </c>
      <c r="K298" s="13">
        <f t="shared" si="145"/>
        <v>2362.5</v>
      </c>
      <c r="L298" s="13">
        <f t="shared" si="146"/>
        <v>2362.5</v>
      </c>
      <c r="M298" s="13">
        <f t="shared" si="147"/>
        <v>2362.5</v>
      </c>
      <c r="N298" s="13">
        <f t="shared" si="148"/>
        <v>2362.5</v>
      </c>
      <c r="O298" s="13">
        <f t="shared" si="149"/>
        <v>2362.5</v>
      </c>
      <c r="P298" s="13">
        <f t="shared" si="150"/>
        <v>2362.5</v>
      </c>
      <c r="Q298" s="13">
        <f t="shared" si="151"/>
        <v>2362.5</v>
      </c>
      <c r="R298" s="13">
        <f t="shared" si="152"/>
        <v>2362.5</v>
      </c>
      <c r="S298" s="5">
        <f t="shared" si="153"/>
        <v>28350</v>
      </c>
    </row>
    <row r="299" spans="2:19" x14ac:dyDescent="0.35">
      <c r="B299">
        <v>120</v>
      </c>
      <c r="C299" t="s">
        <v>159</v>
      </c>
      <c r="D299" t="s">
        <v>101</v>
      </c>
      <c r="E299">
        <v>1001006</v>
      </c>
      <c r="F299" t="s">
        <v>78</v>
      </c>
      <c r="G299" s="13">
        <f t="shared" si="141"/>
        <v>12295.697399999999</v>
      </c>
      <c r="H299" s="13">
        <f t="shared" si="142"/>
        <v>11105.7912</v>
      </c>
      <c r="I299" s="13">
        <f t="shared" si="143"/>
        <v>12295.697399999999</v>
      </c>
      <c r="J299" s="13">
        <f t="shared" si="144"/>
        <v>11899.062</v>
      </c>
      <c r="K299" s="13">
        <f t="shared" si="145"/>
        <v>12295.697399999999</v>
      </c>
      <c r="L299" s="13">
        <f t="shared" si="146"/>
        <v>11899.062</v>
      </c>
      <c r="M299" s="13">
        <f t="shared" si="147"/>
        <v>12295.697399999999</v>
      </c>
      <c r="N299" s="13">
        <f t="shared" si="148"/>
        <v>12295.697399999999</v>
      </c>
      <c r="O299" s="13">
        <f t="shared" si="149"/>
        <v>11899.062</v>
      </c>
      <c r="P299" s="13">
        <f t="shared" si="150"/>
        <v>12295.697399999999</v>
      </c>
      <c r="Q299" s="13">
        <f t="shared" si="151"/>
        <v>11899.062</v>
      </c>
      <c r="R299" s="13">
        <f t="shared" si="152"/>
        <v>12295.697399999999</v>
      </c>
      <c r="S299" s="5">
        <f t="shared" si="153"/>
        <v>144771.921</v>
      </c>
    </row>
    <row r="300" spans="2:19" x14ac:dyDescent="0.35">
      <c r="B300">
        <v>120</v>
      </c>
      <c r="C300" t="s">
        <v>159</v>
      </c>
      <c r="D300" t="s">
        <v>101</v>
      </c>
      <c r="E300">
        <v>1001007</v>
      </c>
      <c r="F300" t="s">
        <v>79</v>
      </c>
      <c r="G300" s="13">
        <f t="shared" si="141"/>
        <v>2766.5319149999996</v>
      </c>
      <c r="H300" s="13">
        <f t="shared" si="142"/>
        <v>2498.8030199999998</v>
      </c>
      <c r="I300" s="13">
        <f t="shared" si="143"/>
        <v>2766.5319149999996</v>
      </c>
      <c r="J300" s="13">
        <f t="shared" si="144"/>
        <v>2677.2889499999997</v>
      </c>
      <c r="K300" s="13">
        <f t="shared" si="145"/>
        <v>2766.5319149999996</v>
      </c>
      <c r="L300" s="13">
        <f t="shared" si="146"/>
        <v>2677.2889499999997</v>
      </c>
      <c r="M300" s="13">
        <f t="shared" si="147"/>
        <v>2766.5319149999996</v>
      </c>
      <c r="N300" s="13">
        <f t="shared" si="148"/>
        <v>2766.5319149999996</v>
      </c>
      <c r="O300" s="13">
        <f t="shared" si="149"/>
        <v>2677.2889499999997</v>
      </c>
      <c r="P300" s="13">
        <f t="shared" si="150"/>
        <v>2766.5319149999996</v>
      </c>
      <c r="Q300" s="13">
        <f t="shared" si="151"/>
        <v>2677.2889499999997</v>
      </c>
      <c r="R300" s="13">
        <f t="shared" si="152"/>
        <v>2766.5319149999996</v>
      </c>
      <c r="S300" s="5">
        <f t="shared" si="153"/>
        <v>32573.682224999993</v>
      </c>
    </row>
    <row r="301" spans="2:19" x14ac:dyDescent="0.35">
      <c r="B301">
        <v>120</v>
      </c>
      <c r="C301" t="s">
        <v>159</v>
      </c>
      <c r="D301" t="s">
        <v>101</v>
      </c>
      <c r="E301">
        <v>1001008</v>
      </c>
      <c r="F301" t="s">
        <v>81</v>
      </c>
      <c r="G301" s="13">
        <f t="shared" si="141"/>
        <v>3073.9243499999998</v>
      </c>
      <c r="H301" s="13">
        <f t="shared" si="142"/>
        <v>2776.4477999999999</v>
      </c>
      <c r="I301" s="13">
        <f t="shared" si="143"/>
        <v>3073.9243499999998</v>
      </c>
      <c r="J301" s="13">
        <f t="shared" si="144"/>
        <v>2974.7655</v>
      </c>
      <c r="K301" s="13">
        <f t="shared" si="145"/>
        <v>3073.9243499999998</v>
      </c>
      <c r="L301" s="13">
        <f t="shared" si="146"/>
        <v>2974.7655</v>
      </c>
      <c r="M301" s="13">
        <f t="shared" si="147"/>
        <v>3073.9243499999998</v>
      </c>
      <c r="N301" s="13">
        <f t="shared" si="148"/>
        <v>3073.9243499999998</v>
      </c>
      <c r="O301" s="13">
        <f t="shared" si="149"/>
        <v>2974.7655</v>
      </c>
      <c r="P301" s="13">
        <f t="shared" si="150"/>
        <v>3073.9243499999998</v>
      </c>
      <c r="Q301" s="13">
        <f t="shared" si="151"/>
        <v>2974.7655</v>
      </c>
      <c r="R301" s="13">
        <f t="shared" si="152"/>
        <v>3073.9243499999998</v>
      </c>
      <c r="S301" s="5">
        <f t="shared" si="153"/>
        <v>36192.980250000001</v>
      </c>
    </row>
    <row r="302" spans="2:19" x14ac:dyDescent="0.35">
      <c r="B302">
        <v>120</v>
      </c>
      <c r="C302" t="s">
        <v>159</v>
      </c>
      <c r="D302" t="s">
        <v>101</v>
      </c>
      <c r="E302">
        <v>1001009</v>
      </c>
      <c r="F302" t="s">
        <v>80</v>
      </c>
      <c r="G302" s="13">
        <f t="shared" si="141"/>
        <v>1844.3546099999996</v>
      </c>
      <c r="H302" s="13">
        <f t="shared" si="142"/>
        <v>1665.8686799999998</v>
      </c>
      <c r="I302" s="13">
        <f t="shared" si="143"/>
        <v>1844.3546099999996</v>
      </c>
      <c r="J302" s="13">
        <f t="shared" si="144"/>
        <v>1784.8592999999998</v>
      </c>
      <c r="K302" s="13">
        <f t="shared" si="145"/>
        <v>1844.3546099999996</v>
      </c>
      <c r="L302" s="13">
        <f t="shared" si="146"/>
        <v>1784.8592999999998</v>
      </c>
      <c r="M302" s="13">
        <f t="shared" si="147"/>
        <v>1844.3546099999996</v>
      </c>
      <c r="N302" s="13">
        <f t="shared" si="148"/>
        <v>1844.3546099999996</v>
      </c>
      <c r="O302" s="13">
        <f t="shared" si="149"/>
        <v>1784.8592999999998</v>
      </c>
      <c r="P302" s="13">
        <f t="shared" si="150"/>
        <v>1844.3546099999996</v>
      </c>
      <c r="Q302" s="13">
        <f t="shared" si="151"/>
        <v>1784.8592999999998</v>
      </c>
      <c r="R302" s="13">
        <f t="shared" si="152"/>
        <v>1844.3546099999996</v>
      </c>
      <c r="S302" s="5">
        <f t="shared" si="153"/>
        <v>21715.788149999997</v>
      </c>
    </row>
    <row r="303" spans="2:19" x14ac:dyDescent="0.35">
      <c r="B303">
        <v>120</v>
      </c>
      <c r="C303" t="s">
        <v>159</v>
      </c>
      <c r="D303" t="s">
        <v>102</v>
      </c>
      <c r="E303">
        <v>1002001</v>
      </c>
      <c r="F303" s="11" t="s">
        <v>83</v>
      </c>
      <c r="G303" s="13">
        <f t="shared" si="141"/>
        <v>10112.5</v>
      </c>
      <c r="H303" s="13">
        <f t="shared" si="142"/>
        <v>10112.5</v>
      </c>
      <c r="I303" s="13">
        <f t="shared" si="143"/>
        <v>10112.5</v>
      </c>
      <c r="J303" s="13">
        <f t="shared" si="144"/>
        <v>10112.5</v>
      </c>
      <c r="K303" s="13">
        <f t="shared" si="145"/>
        <v>10112.5</v>
      </c>
      <c r="L303" s="13">
        <f t="shared" si="146"/>
        <v>10112.5</v>
      </c>
      <c r="M303" s="13">
        <f t="shared" si="147"/>
        <v>10112.5</v>
      </c>
      <c r="N303" s="13">
        <f t="shared" si="148"/>
        <v>10112.5</v>
      </c>
      <c r="O303" s="13">
        <f t="shared" si="149"/>
        <v>10112.5</v>
      </c>
      <c r="P303" s="13">
        <f t="shared" si="150"/>
        <v>10112.5</v>
      </c>
      <c r="Q303" s="13">
        <f t="shared" si="151"/>
        <v>10112.5</v>
      </c>
      <c r="R303" s="13">
        <f t="shared" si="152"/>
        <v>10112.5</v>
      </c>
      <c r="S303" s="5">
        <f t="shared" si="153"/>
        <v>121350</v>
      </c>
    </row>
    <row r="304" spans="2:19" x14ac:dyDescent="0.35">
      <c r="B304">
        <v>120</v>
      </c>
      <c r="C304" t="s">
        <v>159</v>
      </c>
      <c r="D304" t="s">
        <v>102</v>
      </c>
      <c r="E304">
        <v>1002002</v>
      </c>
      <c r="F304" s="11" t="s">
        <v>84</v>
      </c>
      <c r="G304" s="13">
        <f t="shared" si="141"/>
        <v>1537.5</v>
      </c>
      <c r="H304" s="13">
        <f t="shared" si="142"/>
        <v>1537.5</v>
      </c>
      <c r="I304" s="13">
        <f t="shared" si="143"/>
        <v>1537.5</v>
      </c>
      <c r="J304" s="13">
        <f t="shared" si="144"/>
        <v>1537.5</v>
      </c>
      <c r="K304" s="13">
        <f t="shared" si="145"/>
        <v>1537.5</v>
      </c>
      <c r="L304" s="13">
        <f t="shared" si="146"/>
        <v>1537.5</v>
      </c>
      <c r="M304" s="13">
        <f t="shared" si="147"/>
        <v>1537.5</v>
      </c>
      <c r="N304" s="13">
        <f t="shared" si="148"/>
        <v>1537.5</v>
      </c>
      <c r="O304" s="13">
        <f t="shared" si="149"/>
        <v>1537.5</v>
      </c>
      <c r="P304" s="13">
        <f t="shared" si="150"/>
        <v>1537.5</v>
      </c>
      <c r="Q304" s="13">
        <f t="shared" si="151"/>
        <v>1537.5</v>
      </c>
      <c r="R304" s="13">
        <f t="shared" si="152"/>
        <v>1537.5</v>
      </c>
      <c r="S304" s="5">
        <f t="shared" si="153"/>
        <v>18450</v>
      </c>
    </row>
    <row r="305" spans="2:19" x14ac:dyDescent="0.35">
      <c r="B305">
        <v>120</v>
      </c>
      <c r="C305" t="s">
        <v>159</v>
      </c>
      <c r="D305" t="s">
        <v>102</v>
      </c>
      <c r="E305">
        <v>1002003</v>
      </c>
      <c r="F305" s="11" t="s">
        <v>85</v>
      </c>
      <c r="G305" s="13">
        <f t="shared" si="141"/>
        <v>0</v>
      </c>
      <c r="H305" s="13">
        <f t="shared" si="142"/>
        <v>0</v>
      </c>
      <c r="I305" s="13">
        <f t="shared" si="143"/>
        <v>0</v>
      </c>
      <c r="J305" s="13">
        <f t="shared" si="144"/>
        <v>0</v>
      </c>
      <c r="K305" s="13">
        <f t="shared" si="145"/>
        <v>0</v>
      </c>
      <c r="L305" s="13">
        <f t="shared" si="146"/>
        <v>0</v>
      </c>
      <c r="M305" s="13">
        <f t="shared" si="147"/>
        <v>0</v>
      </c>
      <c r="N305" s="13">
        <f t="shared" si="148"/>
        <v>0</v>
      </c>
      <c r="O305" s="13">
        <f t="shared" si="149"/>
        <v>0</v>
      </c>
      <c r="P305" s="13">
        <f t="shared" si="150"/>
        <v>0</v>
      </c>
      <c r="Q305" s="13">
        <f t="shared" si="151"/>
        <v>0</v>
      </c>
      <c r="R305" s="13">
        <f t="shared" si="152"/>
        <v>0</v>
      </c>
      <c r="S305" s="5">
        <f t="shared" si="153"/>
        <v>0</v>
      </c>
    </row>
    <row r="306" spans="2:19" x14ac:dyDescent="0.35">
      <c r="B306">
        <v>120</v>
      </c>
      <c r="C306" t="s">
        <v>159</v>
      </c>
      <c r="D306" t="s">
        <v>102</v>
      </c>
      <c r="E306">
        <v>1002004</v>
      </c>
      <c r="F306" s="11" t="s">
        <v>86</v>
      </c>
      <c r="G306" s="13">
        <f t="shared" si="141"/>
        <v>1200</v>
      </c>
      <c r="H306" s="13">
        <f t="shared" si="142"/>
        <v>1200</v>
      </c>
      <c r="I306" s="13">
        <f t="shared" si="143"/>
        <v>1200</v>
      </c>
      <c r="J306" s="13">
        <f t="shared" si="144"/>
        <v>1200</v>
      </c>
      <c r="K306" s="13">
        <f t="shared" si="145"/>
        <v>1200</v>
      </c>
      <c r="L306" s="13">
        <f t="shared" si="146"/>
        <v>1200</v>
      </c>
      <c r="M306" s="13">
        <f t="shared" si="147"/>
        <v>1200</v>
      </c>
      <c r="N306" s="13">
        <f t="shared" si="148"/>
        <v>1200</v>
      </c>
      <c r="O306" s="13">
        <f t="shared" si="149"/>
        <v>1200</v>
      </c>
      <c r="P306" s="13">
        <f t="shared" si="150"/>
        <v>1200</v>
      </c>
      <c r="Q306" s="13">
        <f t="shared" si="151"/>
        <v>1200</v>
      </c>
      <c r="R306" s="13">
        <f t="shared" si="152"/>
        <v>1200</v>
      </c>
      <c r="S306" s="5">
        <f t="shared" si="153"/>
        <v>14400</v>
      </c>
    </row>
    <row r="307" spans="2:19" x14ac:dyDescent="0.35">
      <c r="B307">
        <v>120</v>
      </c>
      <c r="C307" t="s">
        <v>159</v>
      </c>
      <c r="D307" t="s">
        <v>102</v>
      </c>
      <c r="E307">
        <v>1002005</v>
      </c>
      <c r="F307" s="11" t="s">
        <v>87</v>
      </c>
      <c r="G307" s="13">
        <f t="shared" si="141"/>
        <v>800</v>
      </c>
      <c r="H307" s="13">
        <f t="shared" si="142"/>
        <v>800</v>
      </c>
      <c r="I307" s="13">
        <f t="shared" si="143"/>
        <v>800</v>
      </c>
      <c r="J307" s="13">
        <f t="shared" si="144"/>
        <v>800</v>
      </c>
      <c r="K307" s="13">
        <f t="shared" si="145"/>
        <v>800</v>
      </c>
      <c r="L307" s="13">
        <f t="shared" si="146"/>
        <v>800</v>
      </c>
      <c r="M307" s="13">
        <f t="shared" si="147"/>
        <v>800</v>
      </c>
      <c r="N307" s="13">
        <f t="shared" si="148"/>
        <v>800</v>
      </c>
      <c r="O307" s="13">
        <f t="shared" si="149"/>
        <v>800</v>
      </c>
      <c r="P307" s="13">
        <f t="shared" si="150"/>
        <v>800</v>
      </c>
      <c r="Q307" s="13">
        <f t="shared" si="151"/>
        <v>800</v>
      </c>
      <c r="R307" s="13">
        <f t="shared" si="152"/>
        <v>800</v>
      </c>
      <c r="S307" s="5">
        <f t="shared" si="153"/>
        <v>9600</v>
      </c>
    </row>
    <row r="308" spans="2:19" x14ac:dyDescent="0.35">
      <c r="B308">
        <v>120</v>
      </c>
      <c r="C308" t="s">
        <v>159</v>
      </c>
      <c r="D308" t="s">
        <v>102</v>
      </c>
      <c r="E308">
        <v>1002006</v>
      </c>
      <c r="F308" s="11" t="s">
        <v>88</v>
      </c>
      <c r="G308" s="13">
        <f t="shared" si="141"/>
        <v>300</v>
      </c>
      <c r="H308" s="13">
        <f t="shared" si="142"/>
        <v>300</v>
      </c>
      <c r="I308" s="13">
        <f t="shared" si="143"/>
        <v>300</v>
      </c>
      <c r="J308" s="13">
        <f t="shared" si="144"/>
        <v>300</v>
      </c>
      <c r="K308" s="13">
        <f t="shared" si="145"/>
        <v>300</v>
      </c>
      <c r="L308" s="13">
        <f t="shared" si="146"/>
        <v>300</v>
      </c>
      <c r="M308" s="13">
        <f t="shared" si="147"/>
        <v>300</v>
      </c>
      <c r="N308" s="13">
        <f t="shared" si="148"/>
        <v>300</v>
      </c>
      <c r="O308" s="13">
        <f t="shared" si="149"/>
        <v>300</v>
      </c>
      <c r="P308" s="13">
        <f t="shared" si="150"/>
        <v>300</v>
      </c>
      <c r="Q308" s="13">
        <f t="shared" si="151"/>
        <v>300</v>
      </c>
      <c r="R308" s="13">
        <f t="shared" si="152"/>
        <v>300</v>
      </c>
      <c r="S308" s="5">
        <f t="shared" si="153"/>
        <v>3600</v>
      </c>
    </row>
    <row r="309" spans="2:19" x14ac:dyDescent="0.35">
      <c r="B309">
        <v>120</v>
      </c>
      <c r="C309" t="s">
        <v>159</v>
      </c>
      <c r="D309" t="s">
        <v>100</v>
      </c>
      <c r="E309">
        <v>1003001</v>
      </c>
      <c r="F309" t="s">
        <v>82</v>
      </c>
      <c r="G309" s="13">
        <f t="shared" si="141"/>
        <v>30750</v>
      </c>
      <c r="H309" s="13">
        <f t="shared" si="142"/>
        <v>30750</v>
      </c>
      <c r="I309" s="13">
        <f t="shared" si="143"/>
        <v>30750</v>
      </c>
      <c r="J309" s="13">
        <f t="shared" si="144"/>
        <v>30750</v>
      </c>
      <c r="K309" s="13">
        <f t="shared" si="145"/>
        <v>30750</v>
      </c>
      <c r="L309" s="13">
        <f t="shared" si="146"/>
        <v>30750</v>
      </c>
      <c r="M309" s="13">
        <f t="shared" si="147"/>
        <v>30750</v>
      </c>
      <c r="N309" s="13">
        <f t="shared" si="148"/>
        <v>30750</v>
      </c>
      <c r="O309" s="13">
        <f t="shared" si="149"/>
        <v>30750</v>
      </c>
      <c r="P309" s="13">
        <f t="shared" si="150"/>
        <v>30750</v>
      </c>
      <c r="Q309" s="13">
        <f t="shared" si="151"/>
        <v>30750</v>
      </c>
      <c r="R309" s="13">
        <f t="shared" si="152"/>
        <v>30750</v>
      </c>
      <c r="S309" s="5">
        <f t="shared" si="153"/>
        <v>369000</v>
      </c>
    </row>
    <row r="310" spans="2:19" x14ac:dyDescent="0.35">
      <c r="B310">
        <v>120</v>
      </c>
      <c r="C310" t="s">
        <v>159</v>
      </c>
      <c r="D310" t="s">
        <v>100</v>
      </c>
      <c r="E310">
        <v>1003002</v>
      </c>
      <c r="F310" t="s">
        <v>74</v>
      </c>
      <c r="G310" s="13">
        <f t="shared" si="141"/>
        <v>0</v>
      </c>
      <c r="H310" s="13">
        <f t="shared" si="142"/>
        <v>0</v>
      </c>
      <c r="I310" s="13">
        <f t="shared" si="143"/>
        <v>0</v>
      </c>
      <c r="J310" s="13">
        <f t="shared" si="144"/>
        <v>0</v>
      </c>
      <c r="K310" s="13">
        <f t="shared" si="145"/>
        <v>0</v>
      </c>
      <c r="L310" s="13">
        <f t="shared" si="146"/>
        <v>0</v>
      </c>
      <c r="M310" s="13">
        <f t="shared" si="147"/>
        <v>0</v>
      </c>
      <c r="N310" s="13">
        <f t="shared" si="148"/>
        <v>0</v>
      </c>
      <c r="O310" s="13">
        <f t="shared" si="149"/>
        <v>0</v>
      </c>
      <c r="P310" s="13">
        <f t="shared" si="150"/>
        <v>0</v>
      </c>
      <c r="Q310" s="13">
        <f t="shared" si="151"/>
        <v>0</v>
      </c>
      <c r="R310" s="13">
        <f t="shared" si="152"/>
        <v>0</v>
      </c>
      <c r="S310" s="5">
        <f t="shared" si="153"/>
        <v>0</v>
      </c>
    </row>
    <row r="311" spans="2:19" x14ac:dyDescent="0.35">
      <c r="B311">
        <v>120</v>
      </c>
      <c r="C311" t="s">
        <v>159</v>
      </c>
      <c r="D311" t="s">
        <v>100</v>
      </c>
      <c r="E311">
        <v>1003003</v>
      </c>
      <c r="F311" t="s">
        <v>77</v>
      </c>
      <c r="G311" s="13">
        <f t="shared" si="141"/>
        <v>0</v>
      </c>
      <c r="H311" s="13">
        <f t="shared" si="142"/>
        <v>0</v>
      </c>
      <c r="I311" s="13">
        <f t="shared" si="143"/>
        <v>0</v>
      </c>
      <c r="J311" s="13">
        <f t="shared" si="144"/>
        <v>0</v>
      </c>
      <c r="K311" s="13">
        <f t="shared" si="145"/>
        <v>0</v>
      </c>
      <c r="L311" s="13">
        <f t="shared" si="146"/>
        <v>0</v>
      </c>
      <c r="M311" s="13">
        <f t="shared" si="147"/>
        <v>0</v>
      </c>
      <c r="N311" s="13">
        <f t="shared" si="148"/>
        <v>0</v>
      </c>
      <c r="O311" s="13">
        <f t="shared" si="149"/>
        <v>0</v>
      </c>
      <c r="P311" s="13">
        <f t="shared" si="150"/>
        <v>0</v>
      </c>
      <c r="Q311" s="13">
        <f t="shared" si="151"/>
        <v>0</v>
      </c>
      <c r="R311" s="13">
        <f t="shared" si="152"/>
        <v>0</v>
      </c>
      <c r="S311" s="5">
        <f t="shared" si="153"/>
        <v>0</v>
      </c>
    </row>
    <row r="312" spans="2:19" x14ac:dyDescent="0.35">
      <c r="B312">
        <v>120</v>
      </c>
      <c r="C312" t="s">
        <v>159</v>
      </c>
      <c r="D312" t="s">
        <v>100</v>
      </c>
      <c r="E312">
        <v>1003004</v>
      </c>
      <c r="F312" t="s">
        <v>75</v>
      </c>
      <c r="G312" s="13">
        <f t="shared" si="141"/>
        <v>309.97983870967744</v>
      </c>
      <c r="H312" s="13">
        <f t="shared" si="142"/>
        <v>343.19196428571428</v>
      </c>
      <c r="I312" s="13">
        <f t="shared" si="143"/>
        <v>309.97983870967744</v>
      </c>
      <c r="J312" s="13">
        <f t="shared" si="144"/>
        <v>320.3125</v>
      </c>
      <c r="K312" s="13">
        <f t="shared" si="145"/>
        <v>309.97983870967744</v>
      </c>
      <c r="L312" s="13">
        <f t="shared" si="146"/>
        <v>320.3125</v>
      </c>
      <c r="M312" s="13">
        <f t="shared" si="147"/>
        <v>309.97983870967744</v>
      </c>
      <c r="N312" s="13">
        <f t="shared" si="148"/>
        <v>309.97983870967744</v>
      </c>
      <c r="O312" s="13">
        <f t="shared" si="149"/>
        <v>320.3125</v>
      </c>
      <c r="P312" s="13">
        <f t="shared" si="150"/>
        <v>309.97983870967744</v>
      </c>
      <c r="Q312" s="13">
        <f t="shared" si="151"/>
        <v>320.3125</v>
      </c>
      <c r="R312" s="13">
        <f t="shared" si="152"/>
        <v>309.97983870967744</v>
      </c>
      <c r="S312" s="5">
        <f t="shared" si="153"/>
        <v>3794.3008352534571</v>
      </c>
    </row>
    <row r="313" spans="2:19" x14ac:dyDescent="0.35">
      <c r="B313">
        <v>120</v>
      </c>
      <c r="C313" t="s">
        <v>159</v>
      </c>
      <c r="D313" t="s">
        <v>100</v>
      </c>
      <c r="E313">
        <v>1003005</v>
      </c>
      <c r="F313" t="s">
        <v>76</v>
      </c>
      <c r="G313" s="13">
        <f t="shared" si="141"/>
        <v>1239.9193548387098</v>
      </c>
      <c r="H313" s="13">
        <f t="shared" si="142"/>
        <v>1372.7678571428571</v>
      </c>
      <c r="I313" s="13">
        <f t="shared" si="143"/>
        <v>1239.9193548387098</v>
      </c>
      <c r="J313" s="13">
        <f t="shared" si="144"/>
        <v>1281.25</v>
      </c>
      <c r="K313" s="13">
        <f t="shared" si="145"/>
        <v>1239.9193548387098</v>
      </c>
      <c r="L313" s="13">
        <f t="shared" si="146"/>
        <v>1281.25</v>
      </c>
      <c r="M313" s="13">
        <f t="shared" si="147"/>
        <v>1239.9193548387098</v>
      </c>
      <c r="N313" s="13">
        <f t="shared" si="148"/>
        <v>1239.9193548387098</v>
      </c>
      <c r="O313" s="13">
        <f t="shared" si="149"/>
        <v>1281.25</v>
      </c>
      <c r="P313" s="13">
        <f t="shared" si="150"/>
        <v>1239.9193548387098</v>
      </c>
      <c r="Q313" s="13">
        <f t="shared" si="151"/>
        <v>1281.25</v>
      </c>
      <c r="R313" s="13">
        <f t="shared" si="152"/>
        <v>1239.9193548387098</v>
      </c>
      <c r="S313" s="5">
        <f t="shared" si="153"/>
        <v>15177.203341013828</v>
      </c>
    </row>
    <row r="314" spans="2:19" x14ac:dyDescent="0.35">
      <c r="B314">
        <v>120</v>
      </c>
      <c r="C314" t="s">
        <v>159</v>
      </c>
      <c r="D314" t="s">
        <v>100</v>
      </c>
      <c r="E314">
        <v>1003006</v>
      </c>
      <c r="F314" t="s">
        <v>78</v>
      </c>
      <c r="G314" s="13">
        <f t="shared" si="141"/>
        <v>6453.1949999999997</v>
      </c>
      <c r="H314" s="13">
        <f t="shared" si="142"/>
        <v>6453.1949999999997</v>
      </c>
      <c r="I314" s="13">
        <f t="shared" si="143"/>
        <v>6453.1949999999997</v>
      </c>
      <c r="J314" s="13">
        <f t="shared" si="144"/>
        <v>6453.1949999999997</v>
      </c>
      <c r="K314" s="13">
        <f t="shared" si="145"/>
        <v>6453.1949999999997</v>
      </c>
      <c r="L314" s="13">
        <f t="shared" si="146"/>
        <v>6453.1949999999997</v>
      </c>
      <c r="M314" s="13">
        <f t="shared" si="147"/>
        <v>6453.1949999999997</v>
      </c>
      <c r="N314" s="13">
        <f t="shared" si="148"/>
        <v>6453.1949999999997</v>
      </c>
      <c r="O314" s="13">
        <f t="shared" si="149"/>
        <v>6453.1949999999997</v>
      </c>
      <c r="P314" s="13">
        <f t="shared" si="150"/>
        <v>6453.1949999999997</v>
      </c>
      <c r="Q314" s="13">
        <f t="shared" si="151"/>
        <v>6453.1949999999997</v>
      </c>
      <c r="R314" s="13">
        <f t="shared" si="152"/>
        <v>6453.1949999999997</v>
      </c>
      <c r="S314" s="5">
        <f t="shared" si="153"/>
        <v>77438.34</v>
      </c>
    </row>
    <row r="315" spans="2:19" x14ac:dyDescent="0.35">
      <c r="B315">
        <v>120</v>
      </c>
      <c r="C315" t="s">
        <v>159</v>
      </c>
      <c r="D315" t="s">
        <v>100</v>
      </c>
      <c r="E315">
        <v>1003007</v>
      </c>
      <c r="F315" t="s">
        <v>79</v>
      </c>
      <c r="G315" s="13">
        <f t="shared" si="141"/>
        <v>1451.968875</v>
      </c>
      <c r="H315" s="13">
        <f t="shared" si="142"/>
        <v>1451.968875</v>
      </c>
      <c r="I315" s="13">
        <f t="shared" si="143"/>
        <v>1451.968875</v>
      </c>
      <c r="J315" s="13">
        <f t="shared" si="144"/>
        <v>1451.968875</v>
      </c>
      <c r="K315" s="13">
        <f t="shared" si="145"/>
        <v>1451.968875</v>
      </c>
      <c r="L315" s="13">
        <f t="shared" si="146"/>
        <v>1451.968875</v>
      </c>
      <c r="M315" s="13">
        <f t="shared" si="147"/>
        <v>1451.968875</v>
      </c>
      <c r="N315" s="13">
        <f t="shared" si="148"/>
        <v>1451.968875</v>
      </c>
      <c r="O315" s="13">
        <f t="shared" si="149"/>
        <v>1451.968875</v>
      </c>
      <c r="P315" s="13">
        <f t="shared" si="150"/>
        <v>1451.968875</v>
      </c>
      <c r="Q315" s="13">
        <f t="shared" si="151"/>
        <v>1451.968875</v>
      </c>
      <c r="R315" s="13">
        <f t="shared" si="152"/>
        <v>1451.968875</v>
      </c>
      <c r="S315" s="5">
        <f t="shared" si="153"/>
        <v>17423.626500000002</v>
      </c>
    </row>
    <row r="316" spans="2:19" x14ac:dyDescent="0.35">
      <c r="B316">
        <v>120</v>
      </c>
      <c r="C316" t="s">
        <v>159</v>
      </c>
      <c r="D316" t="s">
        <v>100</v>
      </c>
      <c r="E316">
        <v>1003008</v>
      </c>
      <c r="F316" t="s">
        <v>81</v>
      </c>
      <c r="G316" s="13">
        <f t="shared" si="141"/>
        <v>1613.2987499999999</v>
      </c>
      <c r="H316" s="13">
        <f t="shared" si="142"/>
        <v>1613.2987499999999</v>
      </c>
      <c r="I316" s="13">
        <f t="shared" si="143"/>
        <v>1613.2987499999999</v>
      </c>
      <c r="J316" s="13">
        <f t="shared" si="144"/>
        <v>1613.2987499999999</v>
      </c>
      <c r="K316" s="13">
        <f t="shared" si="145"/>
        <v>1613.2987499999999</v>
      </c>
      <c r="L316" s="13">
        <f t="shared" si="146"/>
        <v>1613.2987499999999</v>
      </c>
      <c r="M316" s="13">
        <f t="shared" si="147"/>
        <v>1613.2987499999999</v>
      </c>
      <c r="N316" s="13">
        <f t="shared" si="148"/>
        <v>1613.2987499999999</v>
      </c>
      <c r="O316" s="13">
        <f t="shared" si="149"/>
        <v>1613.2987499999999</v>
      </c>
      <c r="P316" s="13">
        <f t="shared" si="150"/>
        <v>1613.2987499999999</v>
      </c>
      <c r="Q316" s="13">
        <f t="shared" si="151"/>
        <v>1613.2987499999999</v>
      </c>
      <c r="R316" s="13">
        <f t="shared" si="152"/>
        <v>1613.2987499999999</v>
      </c>
      <c r="S316" s="5">
        <f t="shared" si="153"/>
        <v>19359.584999999999</v>
      </c>
    </row>
    <row r="317" spans="2:19" x14ac:dyDescent="0.35">
      <c r="B317">
        <v>120</v>
      </c>
      <c r="C317" t="s">
        <v>159</v>
      </c>
      <c r="D317" t="s">
        <v>100</v>
      </c>
      <c r="E317">
        <v>1003009</v>
      </c>
      <c r="F317" t="s">
        <v>80</v>
      </c>
      <c r="G317" s="13">
        <f t="shared" si="141"/>
        <v>967.97924999999987</v>
      </c>
      <c r="H317" s="13">
        <f t="shared" si="142"/>
        <v>967.97924999999987</v>
      </c>
      <c r="I317" s="13">
        <f t="shared" si="143"/>
        <v>967.97924999999987</v>
      </c>
      <c r="J317" s="13">
        <f t="shared" si="144"/>
        <v>967.97924999999987</v>
      </c>
      <c r="K317" s="13">
        <f t="shared" si="145"/>
        <v>967.97924999999987</v>
      </c>
      <c r="L317" s="13">
        <f t="shared" si="146"/>
        <v>967.97924999999987</v>
      </c>
      <c r="M317" s="13">
        <f t="shared" si="147"/>
        <v>967.97924999999987</v>
      </c>
      <c r="N317" s="13">
        <f t="shared" si="148"/>
        <v>967.97924999999987</v>
      </c>
      <c r="O317" s="13">
        <f t="shared" si="149"/>
        <v>967.97924999999987</v>
      </c>
      <c r="P317" s="13">
        <f t="shared" si="150"/>
        <v>967.97924999999987</v>
      </c>
      <c r="Q317" s="13">
        <f t="shared" si="151"/>
        <v>967.97924999999987</v>
      </c>
      <c r="R317" s="13">
        <f t="shared" si="152"/>
        <v>967.97924999999987</v>
      </c>
      <c r="S317" s="5">
        <f t="shared" si="153"/>
        <v>11615.751000000002</v>
      </c>
    </row>
    <row r="318" spans="2:19" x14ac:dyDescent="0.35">
      <c r="B318">
        <v>120</v>
      </c>
      <c r="C318" t="s">
        <v>159</v>
      </c>
      <c r="D318" t="s">
        <v>100</v>
      </c>
      <c r="E318">
        <v>1003101</v>
      </c>
      <c r="F318" t="s">
        <v>89</v>
      </c>
      <c r="G318" s="13">
        <f t="shared" si="141"/>
        <v>15000</v>
      </c>
      <c r="H318" s="13">
        <f t="shared" si="142"/>
        <v>15000</v>
      </c>
      <c r="I318" s="13">
        <f t="shared" si="143"/>
        <v>15000</v>
      </c>
      <c r="J318" s="13">
        <f t="shared" si="144"/>
        <v>15000</v>
      </c>
      <c r="K318" s="13">
        <f t="shared" si="145"/>
        <v>15000</v>
      </c>
      <c r="L318" s="13">
        <f t="shared" si="146"/>
        <v>15000</v>
      </c>
      <c r="M318" s="13">
        <f t="shared" si="147"/>
        <v>15000</v>
      </c>
      <c r="N318" s="13">
        <f t="shared" si="148"/>
        <v>15000</v>
      </c>
      <c r="O318" s="13">
        <f t="shared" si="149"/>
        <v>15000</v>
      </c>
      <c r="P318" s="13">
        <f t="shared" si="150"/>
        <v>15000</v>
      </c>
      <c r="Q318" s="13">
        <f t="shared" si="151"/>
        <v>15000</v>
      </c>
      <c r="R318" s="13">
        <f t="shared" si="152"/>
        <v>15000</v>
      </c>
      <c r="S318" s="5">
        <f t="shared" si="153"/>
        <v>180000</v>
      </c>
    </row>
    <row r="319" spans="2:19" x14ac:dyDescent="0.35">
      <c r="B319">
        <v>120</v>
      </c>
      <c r="C319" t="s">
        <v>159</v>
      </c>
      <c r="D319" t="s">
        <v>100</v>
      </c>
      <c r="E319">
        <v>1003102</v>
      </c>
      <c r="F319" t="s">
        <v>90</v>
      </c>
      <c r="G319" s="13">
        <f t="shared" si="141"/>
        <v>250</v>
      </c>
      <c r="H319" s="13">
        <f t="shared" si="142"/>
        <v>250</v>
      </c>
      <c r="I319" s="13">
        <f t="shared" si="143"/>
        <v>250</v>
      </c>
      <c r="J319" s="13">
        <f t="shared" si="144"/>
        <v>250</v>
      </c>
      <c r="K319" s="13">
        <f t="shared" si="145"/>
        <v>250</v>
      </c>
      <c r="L319" s="13">
        <f t="shared" si="146"/>
        <v>250</v>
      </c>
      <c r="M319" s="13">
        <f t="shared" si="147"/>
        <v>250</v>
      </c>
      <c r="N319" s="13">
        <f t="shared" si="148"/>
        <v>250</v>
      </c>
      <c r="O319" s="13">
        <f t="shared" si="149"/>
        <v>250</v>
      </c>
      <c r="P319" s="13">
        <f t="shared" si="150"/>
        <v>250</v>
      </c>
      <c r="Q319" s="13">
        <f t="shared" si="151"/>
        <v>250</v>
      </c>
      <c r="R319" s="13">
        <f t="shared" si="152"/>
        <v>250</v>
      </c>
      <c r="S319" s="5">
        <f t="shared" si="153"/>
        <v>3000</v>
      </c>
    </row>
    <row r="320" spans="2:19" x14ac:dyDescent="0.35">
      <c r="B320">
        <v>120</v>
      </c>
      <c r="C320" t="s">
        <v>159</v>
      </c>
      <c r="D320" t="s">
        <v>100</v>
      </c>
      <c r="E320">
        <v>1003103</v>
      </c>
      <c r="F320" t="s">
        <v>91</v>
      </c>
      <c r="G320" s="13">
        <f t="shared" si="141"/>
        <v>175</v>
      </c>
      <c r="H320" s="13">
        <f t="shared" si="142"/>
        <v>175</v>
      </c>
      <c r="I320" s="13">
        <f t="shared" si="143"/>
        <v>175</v>
      </c>
      <c r="J320" s="13">
        <f t="shared" si="144"/>
        <v>175</v>
      </c>
      <c r="K320" s="13">
        <f t="shared" si="145"/>
        <v>175</v>
      </c>
      <c r="L320" s="13">
        <f t="shared" si="146"/>
        <v>175</v>
      </c>
      <c r="M320" s="13">
        <f t="shared" si="147"/>
        <v>175</v>
      </c>
      <c r="N320" s="13">
        <f t="shared" si="148"/>
        <v>175</v>
      </c>
      <c r="O320" s="13">
        <f t="shared" si="149"/>
        <v>175</v>
      </c>
      <c r="P320" s="13">
        <f t="shared" si="150"/>
        <v>175</v>
      </c>
      <c r="Q320" s="13">
        <f t="shared" si="151"/>
        <v>175</v>
      </c>
      <c r="R320" s="13">
        <f t="shared" si="152"/>
        <v>175</v>
      </c>
      <c r="S320" s="5">
        <f t="shared" si="153"/>
        <v>2100</v>
      </c>
    </row>
    <row r="321" spans="2:19" x14ac:dyDescent="0.35">
      <c r="B321">
        <v>120</v>
      </c>
      <c r="C321" t="s">
        <v>159</v>
      </c>
      <c r="D321" t="s">
        <v>100</v>
      </c>
      <c r="E321">
        <v>1003104</v>
      </c>
      <c r="F321" t="s">
        <v>92</v>
      </c>
      <c r="G321" s="13">
        <f t="shared" si="141"/>
        <v>1200</v>
      </c>
      <c r="H321" s="13">
        <f t="shared" si="142"/>
        <v>1200</v>
      </c>
      <c r="I321" s="13">
        <f t="shared" si="143"/>
        <v>1200</v>
      </c>
      <c r="J321" s="13">
        <f t="shared" si="144"/>
        <v>1200</v>
      </c>
      <c r="K321" s="13">
        <f t="shared" si="145"/>
        <v>1200</v>
      </c>
      <c r="L321" s="13">
        <f t="shared" si="146"/>
        <v>1200</v>
      </c>
      <c r="M321" s="13">
        <f t="shared" si="147"/>
        <v>1200</v>
      </c>
      <c r="N321" s="13">
        <f t="shared" si="148"/>
        <v>1200</v>
      </c>
      <c r="O321" s="13">
        <f t="shared" si="149"/>
        <v>1200</v>
      </c>
      <c r="P321" s="13">
        <f t="shared" si="150"/>
        <v>1200</v>
      </c>
      <c r="Q321" s="13">
        <f t="shared" si="151"/>
        <v>1200</v>
      </c>
      <c r="R321" s="13">
        <f t="shared" si="152"/>
        <v>1200</v>
      </c>
      <c r="S321" s="5">
        <f t="shared" si="153"/>
        <v>14400</v>
      </c>
    </row>
    <row r="322" spans="2:19" x14ac:dyDescent="0.35">
      <c r="C322" t="s">
        <v>96</v>
      </c>
      <c r="G322" s="5">
        <f>SUM(G294:G321)</f>
        <v>154884.97434354838</v>
      </c>
      <c r="H322" s="5">
        <f t="shared" ref="H322" si="154">SUM(H294:H321)</f>
        <v>147447.43739642858</v>
      </c>
      <c r="I322" s="5">
        <f t="shared" ref="I322" si="155">SUM(I294:I321)</f>
        <v>154884.97434354838</v>
      </c>
      <c r="J322" s="5">
        <f t="shared" ref="J322" si="156">SUM(J294:J321)</f>
        <v>152402.10512499997</v>
      </c>
      <c r="K322" s="5">
        <f t="shared" ref="K322" si="157">SUM(K294:K321)</f>
        <v>154884.97434354838</v>
      </c>
      <c r="L322" s="5">
        <f t="shared" ref="L322" si="158">SUM(L294:L321)</f>
        <v>152402.10512499997</v>
      </c>
      <c r="M322" s="5">
        <f t="shared" ref="M322" si="159">SUM(M294:M321)</f>
        <v>154884.97434354838</v>
      </c>
      <c r="N322" s="5">
        <f t="shared" ref="N322" si="160">SUM(N294:N321)</f>
        <v>154884.97434354838</v>
      </c>
      <c r="O322" s="5">
        <f t="shared" ref="O322" si="161">SUM(O294:O321)</f>
        <v>152402.10512499997</v>
      </c>
      <c r="P322" s="5">
        <f t="shared" ref="P322" si="162">SUM(P294:P321)</f>
        <v>154884.97434354838</v>
      </c>
      <c r="Q322" s="5">
        <f t="shared" ref="Q322" si="163">SUM(Q294:Q321)</f>
        <v>152402.10512499997</v>
      </c>
      <c r="R322" s="5">
        <f t="shared" ref="R322" si="164">SUM(R294:R321)</f>
        <v>154884.97434354838</v>
      </c>
      <c r="S322" s="5">
        <f t="shared" ref="S322" si="165">SUM(S294:S321)</f>
        <v>1841250.6783012673</v>
      </c>
    </row>
    <row r="324" spans="2:19" x14ac:dyDescent="0.35">
      <c r="F324" t="s">
        <v>197</v>
      </c>
      <c r="G324" s="5">
        <f>G322+G292+G262</f>
        <v>562094.42263709672</v>
      </c>
      <c r="H324" s="5">
        <f t="shared" ref="H324:S324" si="166">H322+H292+H262</f>
        <v>537332.33471428568</v>
      </c>
      <c r="I324" s="5">
        <f t="shared" si="166"/>
        <v>562094.42263709672</v>
      </c>
      <c r="J324" s="5">
        <f t="shared" si="166"/>
        <v>553827.43249999988</v>
      </c>
      <c r="K324" s="5">
        <f t="shared" si="166"/>
        <v>562094.42263709672</v>
      </c>
      <c r="L324" s="5">
        <f t="shared" si="166"/>
        <v>553827.43249999988</v>
      </c>
      <c r="M324" s="5">
        <f t="shared" si="166"/>
        <v>562094.42263709672</v>
      </c>
      <c r="N324" s="5">
        <f t="shared" si="166"/>
        <v>562094.42263709672</v>
      </c>
      <c r="O324" s="5">
        <f t="shared" si="166"/>
        <v>553827.43249999988</v>
      </c>
      <c r="P324" s="5">
        <f t="shared" si="166"/>
        <v>562094.42263709672</v>
      </c>
      <c r="Q324" s="5">
        <f t="shared" si="166"/>
        <v>553827.43249999988</v>
      </c>
      <c r="R324" s="5">
        <f t="shared" si="166"/>
        <v>562094.42263709672</v>
      </c>
      <c r="S324" s="5">
        <f t="shared" si="166"/>
        <v>6687303.0231739637</v>
      </c>
    </row>
    <row r="325" spans="2:19" x14ac:dyDescent="0.35">
      <c r="G325" s="5">
        <f t="shared" ref="G325:S325" si="167">G324-G214</f>
        <v>0</v>
      </c>
      <c r="H325" s="5">
        <f t="shared" si="167"/>
        <v>0</v>
      </c>
      <c r="I325" s="5">
        <f t="shared" si="167"/>
        <v>0</v>
      </c>
      <c r="J325" s="5">
        <f t="shared" si="167"/>
        <v>0</v>
      </c>
      <c r="K325" s="5">
        <f t="shared" si="167"/>
        <v>0</v>
      </c>
      <c r="L325" s="5">
        <f t="shared" si="167"/>
        <v>0</v>
      </c>
      <c r="M325" s="5">
        <f t="shared" si="167"/>
        <v>0</v>
      </c>
      <c r="N325" s="5">
        <f t="shared" si="167"/>
        <v>0</v>
      </c>
      <c r="O325" s="5">
        <f t="shared" si="167"/>
        <v>0</v>
      </c>
      <c r="P325" s="5">
        <f t="shared" si="167"/>
        <v>0</v>
      </c>
      <c r="Q325" s="5">
        <f t="shared" si="167"/>
        <v>0</v>
      </c>
      <c r="R325" s="5">
        <f t="shared" si="167"/>
        <v>0</v>
      </c>
      <c r="S325" s="5">
        <f t="shared" si="167"/>
        <v>0</v>
      </c>
    </row>
    <row r="328" spans="2:19" x14ac:dyDescent="0.35">
      <c r="D328" t="s">
        <v>198</v>
      </c>
      <c r="G328" s="5">
        <f>'VALUACION PROD (Calculo)'!E13+'VALUACION PROD (Calculo)'!E14+'VALUACION PROD (Calculo)'!E15</f>
        <v>579720.85423620639</v>
      </c>
      <c r="H328" s="5">
        <f>'VALUACION PROD (Calculo)'!F13+'VALUACION PROD (Calculo)'!F14+'VALUACION PROD (Calculo)'!F15</f>
        <v>535126.94237188285</v>
      </c>
      <c r="I328" s="5">
        <f>'VALUACION PROD (Calculo)'!G13+'VALUACION PROD (Calculo)'!G14+'VALUACION PROD (Calculo)'!G15</f>
        <v>579720.85423620639</v>
      </c>
      <c r="J328" s="5">
        <f>'VALUACION PROD (Calculo)'!H13+'VALUACION PROD (Calculo)'!H14+'VALUACION PROD (Calculo)'!H15</f>
        <v>535126.94237188285</v>
      </c>
      <c r="K328" s="5">
        <f>'VALUACION PROD (Calculo)'!I13+'VALUACION PROD (Calculo)'!I14+'VALUACION PROD (Calculo)'!I15</f>
        <v>556532.02006675815</v>
      </c>
      <c r="L328" s="5">
        <f>'VALUACION PROD (Calculo)'!J13+'VALUACION PROD (Calculo)'!J14+'VALUACION PROD (Calculo)'!J15</f>
        <v>535126.94237188285</v>
      </c>
      <c r="M328" s="5">
        <f>'VALUACION PROD (Calculo)'!K13+'VALUACION PROD (Calculo)'!K14+'VALUACION PROD (Calculo)'!K15</f>
        <v>579720.85423620639</v>
      </c>
      <c r="N328" s="5">
        <f>'VALUACION PROD (Calculo)'!L13+'VALUACION PROD (Calculo)'!L14+'VALUACION PROD (Calculo)'!L15</f>
        <v>535126.94237188285</v>
      </c>
      <c r="O328" s="5">
        <f>'VALUACION PROD (Calculo)'!M13+'VALUACION PROD (Calculo)'!M14+'VALUACION PROD (Calculo)'!M15</f>
        <v>535126.94237188285</v>
      </c>
      <c r="P328" s="5">
        <f>'VALUACION PROD (Calculo)'!N13+'VALUACION PROD (Calculo)'!N14+'VALUACION PROD (Calculo)'!N15</f>
        <v>579720.85423620639</v>
      </c>
      <c r="Q328" s="5">
        <f>'VALUACION PROD (Calculo)'!O13+'VALUACION PROD (Calculo)'!O14+'VALUACION PROD (Calculo)'!O15</f>
        <v>556532.02006675815</v>
      </c>
      <c r="R328" s="5">
        <f>'VALUACION PROD (Calculo)'!P13+'VALUACION PROD (Calculo)'!P14+'VALUACION PROD (Calculo)'!P15</f>
        <v>579720.85423620639</v>
      </c>
      <c r="S328" s="5">
        <f>'VALUACION PROD (Calculo)'!Q13+'VALUACION PROD (Calculo)'!Q14+'VALUACION PROD (Calculo)'!Q15</f>
        <v>6687303.0231739637</v>
      </c>
    </row>
    <row r="329" spans="2:19" x14ac:dyDescent="0.35">
      <c r="D329" t="s">
        <v>199</v>
      </c>
      <c r="G329" s="5">
        <f>G324</f>
        <v>562094.42263709672</v>
      </c>
      <c r="H329" s="5">
        <f t="shared" ref="H329:S329" si="168">H324</f>
        <v>537332.33471428568</v>
      </c>
      <c r="I329" s="5">
        <f t="shared" si="168"/>
        <v>562094.42263709672</v>
      </c>
      <c r="J329" s="5">
        <f t="shared" si="168"/>
        <v>553827.43249999988</v>
      </c>
      <c r="K329" s="5">
        <f t="shared" si="168"/>
        <v>562094.42263709672</v>
      </c>
      <c r="L329" s="5">
        <f t="shared" si="168"/>
        <v>553827.43249999988</v>
      </c>
      <c r="M329" s="5">
        <f t="shared" si="168"/>
        <v>562094.42263709672</v>
      </c>
      <c r="N329" s="5">
        <f t="shared" si="168"/>
        <v>562094.42263709672</v>
      </c>
      <c r="O329" s="5">
        <f t="shared" si="168"/>
        <v>553827.43249999988</v>
      </c>
      <c r="P329" s="5">
        <f t="shared" si="168"/>
        <v>562094.42263709672</v>
      </c>
      <c r="Q329" s="5">
        <f t="shared" si="168"/>
        <v>553827.43249999988</v>
      </c>
      <c r="R329" s="5">
        <f t="shared" si="168"/>
        <v>562094.42263709672</v>
      </c>
      <c r="S329" s="5">
        <f t="shared" si="168"/>
        <v>6687303.0231739637</v>
      </c>
    </row>
    <row r="330" spans="2:19" x14ac:dyDescent="0.35">
      <c r="D330" t="s">
        <v>196</v>
      </c>
      <c r="G330" s="5">
        <f>G329-G328</f>
        <v>-17626.431599109666</v>
      </c>
      <c r="H330" s="5">
        <f t="shared" ref="H330:S330" si="169">H329-H328</f>
        <v>2205.3923424028326</v>
      </c>
      <c r="I330" s="5">
        <f t="shared" si="169"/>
        <v>-17626.431599109666</v>
      </c>
      <c r="J330" s="5">
        <f t="shared" si="169"/>
        <v>18700.490128117031</v>
      </c>
      <c r="K330" s="5">
        <f t="shared" si="169"/>
        <v>5562.4025703385705</v>
      </c>
      <c r="L330" s="5">
        <f t="shared" si="169"/>
        <v>18700.490128117031</v>
      </c>
      <c r="M330" s="5">
        <f t="shared" si="169"/>
        <v>-17626.431599109666</v>
      </c>
      <c r="N330" s="5">
        <f t="shared" si="169"/>
        <v>26967.480265213875</v>
      </c>
      <c r="O330" s="5">
        <f t="shared" si="169"/>
        <v>18700.490128117031</v>
      </c>
      <c r="P330" s="5">
        <f t="shared" si="169"/>
        <v>-17626.431599109666</v>
      </c>
      <c r="Q330" s="5">
        <f t="shared" si="169"/>
        <v>-2704.5875667582732</v>
      </c>
      <c r="R330" s="5">
        <f t="shared" si="169"/>
        <v>-17626.431599109666</v>
      </c>
      <c r="S330" s="5">
        <f t="shared" si="169"/>
        <v>0</v>
      </c>
    </row>
    <row r="333" spans="2:19" x14ac:dyDescent="0.35">
      <c r="D333" s="18" t="s">
        <v>226</v>
      </c>
      <c r="E333" s="18"/>
      <c r="F333" s="21"/>
      <c r="G333" s="5">
        <f>SUM(G186:G194)</f>
        <v>271745.44424999994</v>
      </c>
    </row>
    <row r="334" spans="2:19" x14ac:dyDescent="0.35">
      <c r="D334" s="18" t="s">
        <v>206</v>
      </c>
      <c r="E334" s="18"/>
      <c r="F334" s="21"/>
      <c r="G334" s="5">
        <f>'VALUACION PROD (Calculo)'!E13</f>
        <v>277563.89106261666</v>
      </c>
    </row>
    <row r="335" spans="2:19" x14ac:dyDescent="0.35">
      <c r="D335" s="18" t="s">
        <v>214</v>
      </c>
      <c r="E335" s="18"/>
      <c r="F335" s="21"/>
      <c r="G335" s="5">
        <f>G333-G334</f>
        <v>-5818.4468126167194</v>
      </c>
    </row>
    <row r="336" spans="2:19" x14ac:dyDescent="0.35">
      <c r="D336" s="18"/>
      <c r="E336" s="18"/>
      <c r="F336" s="20"/>
    </row>
    <row r="337" spans="4:7" x14ac:dyDescent="0.35">
      <c r="D337" s="18" t="s">
        <v>181</v>
      </c>
      <c r="G337" s="5">
        <f>SUM(G195:G200)</f>
        <v>90200</v>
      </c>
    </row>
    <row r="338" spans="4:7" x14ac:dyDescent="0.35">
      <c r="D338" s="18" t="s">
        <v>206</v>
      </c>
      <c r="G338" s="5">
        <f>'VALUACION PROD (Calculo)'!E14</f>
        <v>93833.022139237131</v>
      </c>
    </row>
    <row r="339" spans="4:7" x14ac:dyDescent="0.35">
      <c r="D339" s="18" t="s">
        <v>214</v>
      </c>
      <c r="G339" s="5">
        <f>G337-G338</f>
        <v>-3633.0221392371313</v>
      </c>
    </row>
    <row r="340" spans="4:7" x14ac:dyDescent="0.35">
      <c r="D340" s="18"/>
    </row>
    <row r="341" spans="4:7" x14ac:dyDescent="0.35">
      <c r="D341" s="18" t="s">
        <v>182</v>
      </c>
      <c r="G341" s="5">
        <f>SUM(G201:G213)</f>
        <v>200148.97838709675</v>
      </c>
    </row>
    <row r="342" spans="4:7" x14ac:dyDescent="0.35">
      <c r="D342" s="18" t="s">
        <v>206</v>
      </c>
      <c r="G342" s="5">
        <f>'VALUACION PROD (Calculo)'!E15</f>
        <v>208323.94103435261</v>
      </c>
    </row>
    <row r="343" spans="4:7" x14ac:dyDescent="0.35">
      <c r="D343" s="18" t="s">
        <v>214</v>
      </c>
      <c r="G343" s="5">
        <f>G341-G342</f>
        <v>-8174.9626472558593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9E8C2-97BD-4566-A02F-BFE1291E7D22}">
  <dimension ref="B2:F26"/>
  <sheetViews>
    <sheetView topLeftCell="A16" workbookViewId="0">
      <selection activeCell="F22" sqref="F22"/>
    </sheetView>
  </sheetViews>
  <sheetFormatPr baseColWidth="10" defaultRowHeight="14.5" x14ac:dyDescent="0.35"/>
  <cols>
    <col min="2" max="2" width="23.1796875" customWidth="1"/>
    <col min="3" max="3" width="14.26953125" bestFit="1" customWidth="1"/>
    <col min="4" max="6" width="13.54296875" bestFit="1" customWidth="1"/>
  </cols>
  <sheetData>
    <row r="2" spans="2:6" x14ac:dyDescent="0.35">
      <c r="B2" s="14" t="str">
        <f>'CONTABILIDAD &amp; COSTOS'!D4</f>
        <v>PROCESO CONVERSION 1</v>
      </c>
      <c r="C2" s="14" t="s">
        <v>163</v>
      </c>
      <c r="D2" s="14" t="s">
        <v>99</v>
      </c>
      <c r="E2" s="14" t="s">
        <v>100</v>
      </c>
      <c r="F2" s="14" t="s">
        <v>17</v>
      </c>
    </row>
    <row r="3" spans="2:6" x14ac:dyDescent="0.35">
      <c r="B3" t="s">
        <v>161</v>
      </c>
      <c r="C3" s="56">
        <f>SUM('COSTOS (Calculo)'!S234:S242)</f>
        <v>1280722.4955</v>
      </c>
      <c r="D3" s="56">
        <f>SUM('COSTOS (Calculo)'!S243:S248)</f>
        <v>723600</v>
      </c>
      <c r="E3" s="56">
        <f>SUM('COSTOS (Calculo)'!S249:S261)</f>
        <v>976479.17107142846</v>
      </c>
      <c r="F3" s="56">
        <f>SUM(C3:E3)</f>
        <v>2980801.6665714285</v>
      </c>
    </row>
    <row r="4" spans="2:6" x14ac:dyDescent="0.35">
      <c r="B4" t="s">
        <v>162</v>
      </c>
      <c r="C4" s="5">
        <f>INGENIERIA!R74+INGENIERIA!R89+INGENIERIA!R104</f>
        <v>4383446.153846154</v>
      </c>
      <c r="D4" s="5">
        <f>C4</f>
        <v>4383446.153846154</v>
      </c>
      <c r="E4" s="5">
        <f t="shared" ref="E4:F4" si="0">D4</f>
        <v>4383446.153846154</v>
      </c>
      <c r="F4" s="5">
        <f t="shared" si="0"/>
        <v>4383446.153846154</v>
      </c>
    </row>
    <row r="5" spans="2:6" x14ac:dyDescent="0.35">
      <c r="B5" t="s">
        <v>165</v>
      </c>
      <c r="C5" s="56">
        <f>IFERROR(C3/C4,0)</f>
        <v>0.29217251690801754</v>
      </c>
      <c r="D5" s="56">
        <f t="shared" ref="D5:F5" si="1">IFERROR(D3/D4,0)</f>
        <v>0.16507559910713032</v>
      </c>
      <c r="E5" s="56">
        <f t="shared" si="1"/>
        <v>0.22276517990637099</v>
      </c>
      <c r="F5" s="56">
        <f t="shared" si="1"/>
        <v>0.68001329592151893</v>
      </c>
    </row>
    <row r="7" spans="2:6" x14ac:dyDescent="0.35">
      <c r="B7" s="14" t="str">
        <f>'CONTABILIDAD &amp; COSTOS'!D5</f>
        <v>PROCESO CONVERSION 2</v>
      </c>
      <c r="C7" s="14" t="s">
        <v>163</v>
      </c>
      <c r="D7" s="14" t="s">
        <v>99</v>
      </c>
      <c r="E7" s="14" t="s">
        <v>100</v>
      </c>
      <c r="F7" s="14" t="s">
        <v>17</v>
      </c>
    </row>
    <row r="8" spans="2:6" x14ac:dyDescent="0.35">
      <c r="B8" t="s">
        <v>161</v>
      </c>
      <c r="C8" s="56">
        <f>SUM('COSTOS (Calculo)'!S264:S272)</f>
        <v>960541.87162500003</v>
      </c>
      <c r="D8" s="56">
        <f>SUM('COSTOS (Calculo)'!S273:S278)</f>
        <v>191400</v>
      </c>
      <c r="E8" s="56">
        <f>SUM('COSTOS (Calculo)'!S279:S291)</f>
        <v>713308.8066762673</v>
      </c>
      <c r="F8" s="56">
        <f>SUM(C8:E8)</f>
        <v>1865250.6783012673</v>
      </c>
    </row>
    <row r="9" spans="2:6" x14ac:dyDescent="0.35">
      <c r="B9" t="s">
        <v>162</v>
      </c>
      <c r="C9" s="5">
        <f>INGENIERIA!R75+INGENIERIA!R90+INGENIERIA!R105</f>
        <v>6136824.615384616</v>
      </c>
      <c r="D9" s="5">
        <f>C9</f>
        <v>6136824.615384616</v>
      </c>
      <c r="E9" s="5">
        <f t="shared" ref="E9:F9" si="2">D9</f>
        <v>6136824.615384616</v>
      </c>
      <c r="F9" s="5">
        <f t="shared" si="2"/>
        <v>6136824.615384616</v>
      </c>
    </row>
    <row r="10" spans="2:6" x14ac:dyDescent="0.35">
      <c r="B10" t="s">
        <v>165</v>
      </c>
      <c r="C10" s="56">
        <f>IFERROR(C8/C9,0)</f>
        <v>0.15652099120072369</v>
      </c>
      <c r="D10" s="56">
        <f t="shared" ref="D10" si="3">IFERROR(D8/D9,0)</f>
        <v>3.118876813265492E-2</v>
      </c>
      <c r="E10" s="56">
        <f t="shared" ref="E10" si="4">IFERROR(E8/E9,0)</f>
        <v>0.11623418484016131</v>
      </c>
      <c r="F10" s="56">
        <f t="shared" ref="F10" si="5">IFERROR(F8/F9,0)</f>
        <v>0.30394394417353993</v>
      </c>
    </row>
    <row r="12" spans="2:6" x14ac:dyDescent="0.35">
      <c r="B12" s="14" t="str">
        <f>'CONTABILIDAD &amp; COSTOS'!D6</f>
        <v>PROCESO CONVERSION 3</v>
      </c>
      <c r="C12" s="14" t="s">
        <v>163</v>
      </c>
      <c r="D12" s="14" t="s">
        <v>99</v>
      </c>
      <c r="E12" s="14" t="s">
        <v>100</v>
      </c>
      <c r="F12" s="14" t="s">
        <v>17</v>
      </c>
    </row>
    <row r="13" spans="2:6" x14ac:dyDescent="0.35">
      <c r="B13" t="s">
        <v>161</v>
      </c>
      <c r="C13" s="56">
        <f>SUM('COSTOS (Calculo)'!S294:S302)</f>
        <v>960541.87162500003</v>
      </c>
      <c r="D13" s="56">
        <f>SUM('COSTOS (Calculo)'!S303:S308)</f>
        <v>167400</v>
      </c>
      <c r="E13" s="56">
        <f>SUM('COSTOS (Calculo)'!S309:S321)</f>
        <v>713308.8066762673</v>
      </c>
      <c r="F13" s="56">
        <f>SUM(C13:E13)</f>
        <v>1841250.6783012673</v>
      </c>
    </row>
    <row r="14" spans="2:6" x14ac:dyDescent="0.35">
      <c r="B14" t="s">
        <v>162</v>
      </c>
      <c r="C14" s="5">
        <f>INGENIERIA!R76+INGENIERIA!R91+INGENIERIA!R106</f>
        <v>3506756.9230769235</v>
      </c>
      <c r="D14" s="5">
        <f>C14</f>
        <v>3506756.9230769235</v>
      </c>
      <c r="E14" s="5">
        <f t="shared" ref="E14:F14" si="6">D14</f>
        <v>3506756.9230769235</v>
      </c>
      <c r="F14" s="5">
        <f t="shared" si="6"/>
        <v>3506756.9230769235</v>
      </c>
    </row>
    <row r="15" spans="2:6" x14ac:dyDescent="0.35">
      <c r="B15" t="s">
        <v>165</v>
      </c>
      <c r="C15" s="56">
        <f>IFERROR(C13/C14,0)</f>
        <v>0.27391173460126644</v>
      </c>
      <c r="D15" s="56">
        <f t="shared" ref="D15" si="7">IFERROR(D13/D14,0)</f>
        <v>4.7736413920905219E-2</v>
      </c>
      <c r="E15" s="56">
        <f t="shared" ref="E15" si="8">IFERROR(E13/E14,0)</f>
        <v>0.2034098234702823</v>
      </c>
      <c r="F15" s="56">
        <f t="shared" ref="F15" si="9">IFERROR(F13/F14,0)</f>
        <v>0.52505797199245396</v>
      </c>
    </row>
    <row r="17" spans="2:6" x14ac:dyDescent="0.35">
      <c r="B17" s="14" t="str">
        <f>'CONTABILIDAD &amp; COSTOS'!D11</f>
        <v>GERENCIA GENERAL</v>
      </c>
      <c r="C17" s="14" t="s">
        <v>163</v>
      </c>
      <c r="D17" s="14" t="s">
        <v>99</v>
      </c>
      <c r="E17" s="14" t="s">
        <v>100</v>
      </c>
      <c r="F17" s="14" t="s">
        <v>17</v>
      </c>
    </row>
    <row r="18" spans="2:6" x14ac:dyDescent="0.35">
      <c r="B18" t="s">
        <v>161</v>
      </c>
      <c r="C18" s="56">
        <f>C3+C8+C13</f>
        <v>3201806.23875</v>
      </c>
      <c r="D18" s="56">
        <f t="shared" ref="D18:F18" si="10">D3+D8+D13</f>
        <v>1082400</v>
      </c>
      <c r="E18" s="56">
        <f t="shared" si="10"/>
        <v>2403096.7844239632</v>
      </c>
      <c r="F18" s="56">
        <f t="shared" si="10"/>
        <v>6687303.0231739637</v>
      </c>
    </row>
    <row r="19" spans="2:6" x14ac:dyDescent="0.35">
      <c r="B19" t="s">
        <v>162</v>
      </c>
      <c r="C19" s="5">
        <f>C4+C9+C14</f>
        <v>14027027.692307694</v>
      </c>
      <c r="D19" s="5">
        <f t="shared" ref="D19:F19" si="11">D4+D9+D14</f>
        <v>14027027.692307694</v>
      </c>
      <c r="E19" s="5">
        <f t="shared" si="11"/>
        <v>14027027.692307694</v>
      </c>
      <c r="F19" s="5">
        <f t="shared" si="11"/>
        <v>14027027.692307694</v>
      </c>
    </row>
    <row r="20" spans="2:6" x14ac:dyDescent="0.35">
      <c r="B20" t="s">
        <v>165</v>
      </c>
      <c r="C20" s="56">
        <f>C5+C10+C15</f>
        <v>0.72260524271000759</v>
      </c>
      <c r="D20" s="56">
        <f t="shared" ref="D20:F20" si="12">D5+D10+D15</f>
        <v>0.24400078116069046</v>
      </c>
      <c r="E20" s="56">
        <f t="shared" si="12"/>
        <v>0.54240918821681461</v>
      </c>
      <c r="F20" s="56">
        <f t="shared" si="12"/>
        <v>1.5090152120875129</v>
      </c>
    </row>
    <row r="22" spans="2:6" x14ac:dyDescent="0.35">
      <c r="F22" s="5">
        <f>F3+F8+F13</f>
        <v>6687303.0231739637</v>
      </c>
    </row>
    <row r="23" spans="2:6" x14ac:dyDescent="0.35">
      <c r="F23" s="5">
        <f>'COSTOS (Calculo)'!S324-F22</f>
        <v>0</v>
      </c>
    </row>
    <row r="24" spans="2:6" x14ac:dyDescent="0.35">
      <c r="F24" s="5">
        <f>'VALUACION PROD (Calculo)'!AB12-F22</f>
        <v>0</v>
      </c>
    </row>
    <row r="25" spans="2:6" x14ac:dyDescent="0.35">
      <c r="F25" s="5"/>
    </row>
    <row r="26" spans="2:6" x14ac:dyDescent="0.35">
      <c r="F26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33F5A-17A9-4318-8640-C430AD40AC6D}">
  <dimension ref="B3:L55"/>
  <sheetViews>
    <sheetView topLeftCell="A4" workbookViewId="0">
      <selection activeCell="L18" sqref="L18"/>
    </sheetView>
  </sheetViews>
  <sheetFormatPr baseColWidth="10" defaultRowHeight="14.5" x14ac:dyDescent="0.35"/>
  <cols>
    <col min="1" max="1" width="5.1796875" customWidth="1"/>
    <col min="4" max="4" width="20" bestFit="1" customWidth="1"/>
  </cols>
  <sheetData>
    <row r="3" spans="2:12" x14ac:dyDescent="0.35">
      <c r="B3" t="s">
        <v>12</v>
      </c>
      <c r="C3" t="s">
        <v>11</v>
      </c>
      <c r="D3" t="s">
        <v>13</v>
      </c>
      <c r="E3" t="s">
        <v>14</v>
      </c>
      <c r="F3" s="1" t="s">
        <v>16</v>
      </c>
      <c r="G3" s="1" t="s">
        <v>15</v>
      </c>
      <c r="H3" s="1" t="s">
        <v>177</v>
      </c>
      <c r="I3" s="1" t="s">
        <v>98</v>
      </c>
      <c r="J3" s="1" t="s">
        <v>181</v>
      </c>
      <c r="K3" s="1" t="s">
        <v>182</v>
      </c>
      <c r="L3" s="1" t="s">
        <v>17</v>
      </c>
    </row>
    <row r="4" spans="2:12" x14ac:dyDescent="0.35">
      <c r="B4" s="6">
        <v>9001</v>
      </c>
      <c r="C4" s="6" t="s">
        <v>0</v>
      </c>
      <c r="D4" s="6"/>
      <c r="F4" s="1"/>
    </row>
    <row r="5" spans="2:12" x14ac:dyDescent="0.35">
      <c r="C5">
        <v>1001</v>
      </c>
      <c r="D5" t="s">
        <v>1</v>
      </c>
      <c r="E5" t="s">
        <v>18</v>
      </c>
      <c r="F5" s="2">
        <v>1</v>
      </c>
      <c r="G5" s="56">
        <f>VLOOKUP(C5,COMPRAS!B:F,4,0)</f>
        <v>100</v>
      </c>
      <c r="H5" s="56">
        <f>F5*G5</f>
        <v>100</v>
      </c>
      <c r="L5" s="56">
        <f>SUM(H5:K5)</f>
        <v>100</v>
      </c>
    </row>
    <row r="6" spans="2:12" x14ac:dyDescent="0.35">
      <c r="C6">
        <v>1002</v>
      </c>
      <c r="D6" t="s">
        <v>2</v>
      </c>
      <c r="E6" t="s">
        <v>18</v>
      </c>
      <c r="F6" s="2">
        <v>0.5</v>
      </c>
      <c r="G6" s="56">
        <f>VLOOKUP(C6,COMPRAS!B:F,4,0)</f>
        <v>55</v>
      </c>
      <c r="H6" s="56">
        <f t="shared" ref="H6:H14" si="0">F6*G6</f>
        <v>27.5</v>
      </c>
      <c r="L6" s="56">
        <f t="shared" ref="L6:L17" si="1">SUM(H6:K6)</f>
        <v>27.5</v>
      </c>
    </row>
    <row r="7" spans="2:12" x14ac:dyDescent="0.35">
      <c r="C7">
        <v>1003</v>
      </c>
      <c r="D7" t="s">
        <v>3</v>
      </c>
      <c r="E7" t="s">
        <v>18</v>
      </c>
      <c r="F7" s="2">
        <v>0.32</v>
      </c>
      <c r="G7" s="56">
        <f>VLOOKUP(C7,COMPRAS!B:F,4,0)</f>
        <v>20</v>
      </c>
      <c r="H7" s="56">
        <f t="shared" si="0"/>
        <v>6.4</v>
      </c>
      <c r="L7" s="56">
        <f t="shared" si="1"/>
        <v>6.4</v>
      </c>
    </row>
    <row r="8" spans="2:12" x14ac:dyDescent="0.35">
      <c r="C8">
        <v>1004</v>
      </c>
      <c r="D8" t="s">
        <v>4</v>
      </c>
      <c r="E8" t="s">
        <v>18</v>
      </c>
      <c r="F8" s="2">
        <v>2</v>
      </c>
      <c r="G8" s="56">
        <f>VLOOKUP(C8,COMPRAS!B:F,4,0)</f>
        <v>34</v>
      </c>
      <c r="H8" s="56">
        <f t="shared" si="0"/>
        <v>68</v>
      </c>
      <c r="L8" s="56">
        <f t="shared" si="1"/>
        <v>68</v>
      </c>
    </row>
    <row r="9" spans="2:12" x14ac:dyDescent="0.35">
      <c r="C9">
        <v>1005</v>
      </c>
      <c r="D9" t="s">
        <v>5</v>
      </c>
      <c r="E9" t="s">
        <v>18</v>
      </c>
      <c r="F9" s="2">
        <v>0.67</v>
      </c>
      <c r="G9" s="56">
        <f>VLOOKUP(C9,COMPRAS!B:F,4,0)</f>
        <v>15</v>
      </c>
      <c r="H9" s="56">
        <f t="shared" si="0"/>
        <v>10.050000000000001</v>
      </c>
      <c r="L9" s="56">
        <f t="shared" si="1"/>
        <v>10.050000000000001</v>
      </c>
    </row>
    <row r="10" spans="2:12" x14ac:dyDescent="0.35">
      <c r="C10">
        <v>1006</v>
      </c>
      <c r="D10" t="s">
        <v>6</v>
      </c>
      <c r="E10" t="s">
        <v>18</v>
      </c>
      <c r="F10" s="2">
        <v>0.2</v>
      </c>
      <c r="G10" s="56">
        <f>VLOOKUP(C10,COMPRAS!B:F,4,0)</f>
        <v>67</v>
      </c>
      <c r="H10" s="56">
        <f t="shared" si="0"/>
        <v>13.4</v>
      </c>
      <c r="L10" s="56">
        <f t="shared" si="1"/>
        <v>13.4</v>
      </c>
    </row>
    <row r="11" spans="2:12" x14ac:dyDescent="0.35">
      <c r="C11">
        <v>1007</v>
      </c>
      <c r="D11" t="s">
        <v>7</v>
      </c>
      <c r="E11" t="s">
        <v>18</v>
      </c>
      <c r="F11" s="2">
        <v>0.1</v>
      </c>
      <c r="G11" s="56">
        <f>VLOOKUP(C11,COMPRAS!B:F,4,0)</f>
        <v>22</v>
      </c>
      <c r="H11" s="56">
        <f t="shared" si="0"/>
        <v>2.2000000000000002</v>
      </c>
      <c r="L11" s="56">
        <f t="shared" si="1"/>
        <v>2.2000000000000002</v>
      </c>
    </row>
    <row r="12" spans="2:12" x14ac:dyDescent="0.35">
      <c r="C12">
        <v>1008</v>
      </c>
      <c r="D12" t="s">
        <v>8</v>
      </c>
      <c r="E12" t="s">
        <v>18</v>
      </c>
      <c r="F12" s="2">
        <v>0.8</v>
      </c>
      <c r="G12" s="56">
        <f>VLOOKUP(C12,COMPRAS!B:F,4,0)</f>
        <v>35</v>
      </c>
      <c r="H12" s="56">
        <f t="shared" si="0"/>
        <v>28</v>
      </c>
      <c r="L12" s="56">
        <f t="shared" si="1"/>
        <v>28</v>
      </c>
    </row>
    <row r="13" spans="2:12" x14ac:dyDescent="0.35">
      <c r="C13">
        <v>1009</v>
      </c>
      <c r="D13" t="s">
        <v>9</v>
      </c>
      <c r="E13" t="s">
        <v>19</v>
      </c>
      <c r="F13" s="2">
        <v>1</v>
      </c>
      <c r="G13" s="56">
        <f>VLOOKUP(C13,COMPRAS!B:F,4,0)</f>
        <v>15</v>
      </c>
      <c r="H13" s="56">
        <f t="shared" si="0"/>
        <v>15</v>
      </c>
      <c r="L13" s="56">
        <f t="shared" si="1"/>
        <v>15</v>
      </c>
    </row>
    <row r="14" spans="2:12" x14ac:dyDescent="0.35">
      <c r="C14">
        <v>1010</v>
      </c>
      <c r="D14" t="s">
        <v>10</v>
      </c>
      <c r="E14" t="s">
        <v>19</v>
      </c>
      <c r="F14" s="2">
        <v>1</v>
      </c>
      <c r="G14" s="56">
        <f>VLOOKUP(C14,COMPRAS!B:F,4,0)</f>
        <v>10</v>
      </c>
      <c r="H14" s="56">
        <f t="shared" si="0"/>
        <v>10</v>
      </c>
      <c r="L14" s="56">
        <f t="shared" si="1"/>
        <v>10</v>
      </c>
    </row>
    <row r="15" spans="2:12" x14ac:dyDescent="0.35">
      <c r="C15" s="15" t="s">
        <v>178</v>
      </c>
      <c r="D15" t="s">
        <v>23</v>
      </c>
      <c r="E15" t="s">
        <v>26</v>
      </c>
      <c r="F15" s="2">
        <f>INGENIERIA!F14</f>
        <v>5</v>
      </c>
      <c r="G15" s="2"/>
      <c r="H15" s="2"/>
      <c r="I15" s="2">
        <f>$F$15*'CUOTA x MIN (Calculo)'!C5</f>
        <v>1.4608625845400878</v>
      </c>
      <c r="J15" s="2">
        <f>$F$15*'CUOTA x MIN (Calculo)'!D5</f>
        <v>0.82537799553565161</v>
      </c>
      <c r="K15" s="2">
        <f>$F$15*'CUOTA x MIN (Calculo)'!E5</f>
        <v>1.1138258995318548</v>
      </c>
      <c r="L15" s="56">
        <f t="shared" si="1"/>
        <v>3.4000664796075943</v>
      </c>
    </row>
    <row r="16" spans="2:12" x14ac:dyDescent="0.35">
      <c r="C16" s="15" t="s">
        <v>179</v>
      </c>
      <c r="D16" t="s">
        <v>24</v>
      </c>
      <c r="E16" t="s">
        <v>26</v>
      </c>
      <c r="F16" s="2">
        <f>INGENIERIA!F15</f>
        <v>7</v>
      </c>
      <c r="G16" s="2"/>
      <c r="H16" s="2"/>
      <c r="I16" s="2">
        <f>$F$16*'CUOTA x MIN (Calculo)'!C10</f>
        <v>1.0956469384050658</v>
      </c>
      <c r="J16" s="2">
        <f>$F$16*'CUOTA x MIN (Calculo)'!D10</f>
        <v>0.21832137692858444</v>
      </c>
      <c r="K16" s="2">
        <f>$F$16*'CUOTA x MIN (Calculo)'!E10</f>
        <v>0.8136392938811291</v>
      </c>
      <c r="L16" s="56">
        <f t="shared" si="1"/>
        <v>2.1276076092147793</v>
      </c>
    </row>
    <row r="17" spans="2:12" x14ac:dyDescent="0.35">
      <c r="C17" s="15" t="s">
        <v>180</v>
      </c>
      <c r="D17" t="s">
        <v>25</v>
      </c>
      <c r="E17" t="s">
        <v>26</v>
      </c>
      <c r="F17" s="2">
        <f>INGENIERIA!F16</f>
        <v>4</v>
      </c>
      <c r="G17" s="2"/>
      <c r="H17" s="2"/>
      <c r="I17" s="2">
        <f>$F$17*'CUOTA x MIN (Calculo)'!C15</f>
        <v>1.0956469384050658</v>
      </c>
      <c r="J17" s="2">
        <f>$F$17*'CUOTA x MIN (Calculo)'!D15</f>
        <v>0.19094565568362087</v>
      </c>
      <c r="K17" s="2">
        <f>$F$17*'CUOTA x MIN (Calculo)'!E15</f>
        <v>0.81363929388112921</v>
      </c>
      <c r="L17" s="56">
        <f t="shared" si="1"/>
        <v>2.1002318879698159</v>
      </c>
    </row>
    <row r="18" spans="2:12" ht="15" thickBot="1" x14ac:dyDescent="0.4">
      <c r="C18" s="16"/>
      <c r="D18" s="16" t="s">
        <v>183</v>
      </c>
      <c r="E18" s="16"/>
      <c r="F18" s="16"/>
      <c r="G18" s="16"/>
      <c r="H18" s="57">
        <f>SUM(H5:H17)</f>
        <v>280.55</v>
      </c>
      <c r="I18" s="57">
        <f t="shared" ref="I18:L18" si="2">SUM(I5:I17)</f>
        <v>3.6521564613502191</v>
      </c>
      <c r="J18" s="57">
        <f t="shared" si="2"/>
        <v>1.2346450281478569</v>
      </c>
      <c r="K18" s="57">
        <f t="shared" si="2"/>
        <v>2.7411044872941135</v>
      </c>
      <c r="L18" s="57">
        <f t="shared" si="2"/>
        <v>288.1779059767922</v>
      </c>
    </row>
    <row r="19" spans="2:12" ht="15" thickTop="1" x14ac:dyDescent="0.35"/>
    <row r="21" spans="2:12" x14ac:dyDescent="0.35">
      <c r="B21" t="s">
        <v>12</v>
      </c>
      <c r="C21" t="s">
        <v>11</v>
      </c>
      <c r="D21" t="s">
        <v>13</v>
      </c>
      <c r="E21" t="s">
        <v>14</v>
      </c>
      <c r="F21" s="1" t="s">
        <v>16</v>
      </c>
      <c r="G21" s="1" t="s">
        <v>15</v>
      </c>
      <c r="H21" s="1" t="s">
        <v>177</v>
      </c>
      <c r="I21" s="1" t="s">
        <v>98</v>
      </c>
      <c r="J21" s="1" t="s">
        <v>181</v>
      </c>
      <c r="K21" s="1" t="s">
        <v>182</v>
      </c>
      <c r="L21" s="1" t="s">
        <v>17</v>
      </c>
    </row>
    <row r="22" spans="2:12" x14ac:dyDescent="0.35">
      <c r="B22" s="6">
        <v>9002</v>
      </c>
      <c r="C22" s="6" t="s">
        <v>166</v>
      </c>
      <c r="D22" s="6"/>
      <c r="F22" s="1"/>
    </row>
    <row r="23" spans="2:12" x14ac:dyDescent="0.35">
      <c r="C23">
        <v>1001</v>
      </c>
      <c r="D23" t="s">
        <v>1</v>
      </c>
      <c r="E23" t="s">
        <v>18</v>
      </c>
      <c r="F23" s="2">
        <f>INGENIERIA!F19</f>
        <v>0.84</v>
      </c>
      <c r="G23" s="2">
        <f>VLOOKUP(C23,COMPRAS!B:F,4,0)</f>
        <v>100</v>
      </c>
      <c r="H23" s="2">
        <f>F23*G23</f>
        <v>84</v>
      </c>
      <c r="L23" s="5">
        <f>SUM(H23:K23)</f>
        <v>84</v>
      </c>
    </row>
    <row r="24" spans="2:12" x14ac:dyDescent="0.35">
      <c r="C24">
        <v>1002</v>
      </c>
      <c r="D24" t="s">
        <v>2</v>
      </c>
      <c r="E24" t="s">
        <v>18</v>
      </c>
      <c r="F24" s="2">
        <f>INGENIERIA!F20</f>
        <v>0.42</v>
      </c>
      <c r="G24" s="2">
        <f>VLOOKUP(C24,COMPRAS!B:F,4,0)</f>
        <v>55</v>
      </c>
      <c r="H24" s="2">
        <f t="shared" ref="H24:H32" si="3">F24*G24</f>
        <v>23.099999999999998</v>
      </c>
      <c r="L24" s="5">
        <f t="shared" ref="L24:L35" si="4">SUM(H24:K24)</f>
        <v>23.099999999999998</v>
      </c>
    </row>
    <row r="25" spans="2:12" x14ac:dyDescent="0.35">
      <c r="C25">
        <v>1003</v>
      </c>
      <c r="D25" t="s">
        <v>3</v>
      </c>
      <c r="E25" t="s">
        <v>18</v>
      </c>
      <c r="F25" s="2">
        <f>INGENIERIA!F21</f>
        <v>0.26879999999999998</v>
      </c>
      <c r="G25" s="2">
        <f>VLOOKUP(C25,COMPRAS!B:F,4,0)</f>
        <v>20</v>
      </c>
      <c r="H25" s="2">
        <f t="shared" si="3"/>
        <v>5.3759999999999994</v>
      </c>
      <c r="L25" s="5">
        <f t="shared" si="4"/>
        <v>5.3759999999999994</v>
      </c>
    </row>
    <row r="26" spans="2:12" x14ac:dyDescent="0.35">
      <c r="C26">
        <v>1004</v>
      </c>
      <c r="D26" t="s">
        <v>4</v>
      </c>
      <c r="E26" t="s">
        <v>18</v>
      </c>
      <c r="F26" s="2">
        <f>INGENIERIA!F22</f>
        <v>1.68</v>
      </c>
      <c r="G26" s="2">
        <f>VLOOKUP(C26,COMPRAS!B:F,4,0)</f>
        <v>34</v>
      </c>
      <c r="H26" s="2">
        <f t="shared" si="3"/>
        <v>57.12</v>
      </c>
      <c r="L26" s="5">
        <f t="shared" si="4"/>
        <v>57.12</v>
      </c>
    </row>
    <row r="27" spans="2:12" x14ac:dyDescent="0.35">
      <c r="C27">
        <v>1005</v>
      </c>
      <c r="D27" t="s">
        <v>5</v>
      </c>
      <c r="E27" t="s">
        <v>18</v>
      </c>
      <c r="F27" s="2">
        <f>INGENIERIA!F23</f>
        <v>0.56279999999999997</v>
      </c>
      <c r="G27" s="2">
        <f>VLOOKUP(C27,COMPRAS!B:F,4,0)</f>
        <v>15</v>
      </c>
      <c r="H27" s="2">
        <f t="shared" si="3"/>
        <v>8.4420000000000002</v>
      </c>
      <c r="L27" s="5">
        <f t="shared" si="4"/>
        <v>8.4420000000000002</v>
      </c>
    </row>
    <row r="28" spans="2:12" x14ac:dyDescent="0.35">
      <c r="C28">
        <v>1006</v>
      </c>
      <c r="D28" t="s">
        <v>6</v>
      </c>
      <c r="E28" t="s">
        <v>18</v>
      </c>
      <c r="F28" s="2">
        <f>INGENIERIA!F24</f>
        <v>0.16800000000000001</v>
      </c>
      <c r="G28" s="2">
        <f>VLOOKUP(C28,COMPRAS!B:F,4,0)</f>
        <v>67</v>
      </c>
      <c r="H28" s="2">
        <f t="shared" si="3"/>
        <v>11.256</v>
      </c>
      <c r="L28" s="5">
        <f t="shared" si="4"/>
        <v>11.256</v>
      </c>
    </row>
    <row r="29" spans="2:12" x14ac:dyDescent="0.35">
      <c r="C29">
        <v>1007</v>
      </c>
      <c r="D29" t="s">
        <v>7</v>
      </c>
      <c r="E29" t="s">
        <v>18</v>
      </c>
      <c r="F29" s="2">
        <f>INGENIERIA!F25</f>
        <v>8.4000000000000005E-2</v>
      </c>
      <c r="G29" s="2">
        <f>VLOOKUP(C29,COMPRAS!B:F,4,0)</f>
        <v>22</v>
      </c>
      <c r="H29" s="2">
        <f t="shared" si="3"/>
        <v>1.8480000000000001</v>
      </c>
      <c r="L29" s="5">
        <f t="shared" si="4"/>
        <v>1.8480000000000001</v>
      </c>
    </row>
    <row r="30" spans="2:12" x14ac:dyDescent="0.35">
      <c r="C30">
        <v>1008</v>
      </c>
      <c r="D30" t="s">
        <v>8</v>
      </c>
      <c r="E30" t="s">
        <v>18</v>
      </c>
      <c r="F30" s="2">
        <f>INGENIERIA!F26</f>
        <v>0.67200000000000004</v>
      </c>
      <c r="G30" s="2">
        <f>VLOOKUP(C30,COMPRAS!B:F,4,0)</f>
        <v>35</v>
      </c>
      <c r="H30" s="2">
        <f t="shared" si="3"/>
        <v>23.520000000000003</v>
      </c>
      <c r="L30" s="5">
        <f t="shared" si="4"/>
        <v>23.520000000000003</v>
      </c>
    </row>
    <row r="31" spans="2:12" x14ac:dyDescent="0.35">
      <c r="C31">
        <v>1009</v>
      </c>
      <c r="D31" t="s">
        <v>9</v>
      </c>
      <c r="E31" t="s">
        <v>19</v>
      </c>
      <c r="F31" s="2">
        <f>INGENIERIA!F27</f>
        <v>1</v>
      </c>
      <c r="G31" s="2">
        <f>VLOOKUP(C31,COMPRAS!B:F,4,0)</f>
        <v>15</v>
      </c>
      <c r="H31" s="2">
        <f t="shared" si="3"/>
        <v>15</v>
      </c>
      <c r="L31" s="5">
        <f t="shared" si="4"/>
        <v>15</v>
      </c>
    </row>
    <row r="32" spans="2:12" x14ac:dyDescent="0.35">
      <c r="C32">
        <v>1010</v>
      </c>
      <c r="D32" t="s">
        <v>10</v>
      </c>
      <c r="E32" t="s">
        <v>19</v>
      </c>
      <c r="F32" s="2">
        <f>INGENIERIA!F28</f>
        <v>1</v>
      </c>
      <c r="G32" s="2">
        <f>VLOOKUP(C32,COMPRAS!B:F,4,0)</f>
        <v>10</v>
      </c>
      <c r="H32" s="2">
        <f t="shared" si="3"/>
        <v>10</v>
      </c>
      <c r="L32" s="5">
        <f t="shared" si="4"/>
        <v>10</v>
      </c>
    </row>
    <row r="33" spans="2:12" x14ac:dyDescent="0.35">
      <c r="C33" s="15" t="s">
        <v>178</v>
      </c>
      <c r="D33" t="s">
        <v>23</v>
      </c>
      <c r="E33" t="s">
        <v>26</v>
      </c>
      <c r="F33" s="2">
        <f>INGENIERIA!F29</f>
        <v>5.5</v>
      </c>
      <c r="G33" s="2"/>
      <c r="H33" s="2"/>
      <c r="I33" s="2">
        <f>$F$33*'CUOTA x MIN (Calculo)'!C5</f>
        <v>1.6069488429940966</v>
      </c>
      <c r="J33" s="2">
        <f>$F$33*'CUOTA x MIN (Calculo)'!D5</f>
        <v>0.90791579508921672</v>
      </c>
      <c r="K33" s="2">
        <f>$F$33*'CUOTA x MIN (Calculo)'!E5</f>
        <v>1.2252084894850404</v>
      </c>
      <c r="L33" s="5">
        <f t="shared" si="4"/>
        <v>3.7400731275683539</v>
      </c>
    </row>
    <row r="34" spans="2:12" x14ac:dyDescent="0.35">
      <c r="C34" s="15" t="s">
        <v>179</v>
      </c>
      <c r="D34" t="s">
        <v>24</v>
      </c>
      <c r="E34" t="s">
        <v>26</v>
      </c>
      <c r="F34" s="2">
        <f>INGENIERIA!F30</f>
        <v>7.7000000000000011</v>
      </c>
      <c r="G34" s="2"/>
      <c r="H34" s="2"/>
      <c r="I34" s="2">
        <f>$F$34*'CUOTA x MIN (Calculo)'!C10</f>
        <v>1.2052116322455726</v>
      </c>
      <c r="J34" s="2">
        <f>$F$34*'CUOTA x MIN (Calculo)'!D10</f>
        <v>0.24015351462144291</v>
      </c>
      <c r="K34" s="2">
        <f>$F$34*'CUOTA x MIN (Calculo)'!E10</f>
        <v>0.8950032232692422</v>
      </c>
      <c r="L34" s="5">
        <f t="shared" si="4"/>
        <v>2.3403683701362574</v>
      </c>
    </row>
    <row r="35" spans="2:12" x14ac:dyDescent="0.35">
      <c r="C35" s="15" t="s">
        <v>180</v>
      </c>
      <c r="D35" t="s">
        <v>25</v>
      </c>
      <c r="E35" t="s">
        <v>26</v>
      </c>
      <c r="F35" s="2">
        <f>INGENIERIA!F31</f>
        <v>4.4000000000000004</v>
      </c>
      <c r="G35" s="2"/>
      <c r="H35" s="2"/>
      <c r="I35" s="2">
        <f>$F$35*'CUOTA x MIN (Calculo)'!C15</f>
        <v>1.2052116322455724</v>
      </c>
      <c r="J35" s="2">
        <f>$F$35*'CUOTA x MIN (Calculo)'!D15</f>
        <v>0.21004022125198299</v>
      </c>
      <c r="K35" s="2">
        <f>$F$35*'CUOTA x MIN (Calculo)'!E15</f>
        <v>0.8950032232692422</v>
      </c>
      <c r="L35" s="5">
        <f t="shared" si="4"/>
        <v>2.3102550767667975</v>
      </c>
    </row>
    <row r="36" spans="2:12" ht="15" thickBot="1" x14ac:dyDescent="0.4">
      <c r="C36" s="16"/>
      <c r="D36" s="16" t="s">
        <v>183</v>
      </c>
      <c r="E36" s="16"/>
      <c r="F36" s="16"/>
      <c r="G36" s="16"/>
      <c r="H36" s="17">
        <f>SUM(H23:H35)</f>
        <v>239.66200000000003</v>
      </c>
      <c r="I36" s="17">
        <f t="shared" ref="I36" si="5">SUM(I23:I35)</f>
        <v>4.017372107485242</v>
      </c>
      <c r="J36" s="17">
        <f t="shared" ref="J36" si="6">SUM(J23:J35)</f>
        <v>1.3581095309626425</v>
      </c>
      <c r="K36" s="17">
        <f t="shared" ref="K36" si="7">SUM(K23:K35)</f>
        <v>3.0152149360235247</v>
      </c>
      <c r="L36" s="17">
        <f t="shared" ref="L36" si="8">SUM(L23:L35)</f>
        <v>248.05269657447144</v>
      </c>
    </row>
    <row r="37" spans="2:12" ht="15" thickTop="1" x14ac:dyDescent="0.35"/>
    <row r="39" spans="2:12" x14ac:dyDescent="0.35">
      <c r="B39" t="s">
        <v>12</v>
      </c>
      <c r="C39" t="s">
        <v>11</v>
      </c>
      <c r="D39" t="s">
        <v>13</v>
      </c>
      <c r="E39" t="s">
        <v>14</v>
      </c>
      <c r="F39" s="1" t="s">
        <v>16</v>
      </c>
      <c r="G39" s="1" t="s">
        <v>15</v>
      </c>
      <c r="H39" s="1" t="s">
        <v>177</v>
      </c>
      <c r="I39" s="1" t="s">
        <v>98</v>
      </c>
      <c r="J39" s="1" t="s">
        <v>181</v>
      </c>
      <c r="K39" s="1" t="s">
        <v>182</v>
      </c>
      <c r="L39" s="1" t="s">
        <v>17</v>
      </c>
    </row>
    <row r="40" spans="2:12" x14ac:dyDescent="0.35">
      <c r="B40" s="6">
        <v>9003</v>
      </c>
      <c r="C40" s="6" t="s">
        <v>167</v>
      </c>
      <c r="D40" s="6"/>
      <c r="F40" s="1"/>
    </row>
    <row r="41" spans="2:12" x14ac:dyDescent="0.35">
      <c r="C41">
        <v>1001</v>
      </c>
      <c r="D41" t="s">
        <v>1</v>
      </c>
      <c r="E41" t="s">
        <v>18</v>
      </c>
      <c r="F41" s="2">
        <f>INGENIERIA!F34</f>
        <v>1.05</v>
      </c>
      <c r="G41" s="2">
        <f>VLOOKUP(C41,COMPRAS!B:F,4,0)</f>
        <v>100</v>
      </c>
      <c r="H41" s="2">
        <f>F41*G41</f>
        <v>105</v>
      </c>
      <c r="L41" s="5">
        <f>SUM(H41:K41)</f>
        <v>105</v>
      </c>
    </row>
    <row r="42" spans="2:12" x14ac:dyDescent="0.35">
      <c r="C42">
        <v>1002</v>
      </c>
      <c r="D42" t="s">
        <v>2</v>
      </c>
      <c r="E42" t="s">
        <v>18</v>
      </c>
      <c r="F42" s="2">
        <f>INGENIERIA!F35</f>
        <v>0.52500000000000002</v>
      </c>
      <c r="G42" s="2">
        <f>VLOOKUP(C42,COMPRAS!B:F,4,0)</f>
        <v>55</v>
      </c>
      <c r="H42" s="2">
        <f t="shared" ref="H42:H50" si="9">F42*G42</f>
        <v>28.875</v>
      </c>
      <c r="L42" s="5">
        <f t="shared" ref="L42:L53" si="10">SUM(H42:K42)</f>
        <v>28.875</v>
      </c>
    </row>
    <row r="43" spans="2:12" x14ac:dyDescent="0.35">
      <c r="C43">
        <v>1003</v>
      </c>
      <c r="D43" t="s">
        <v>3</v>
      </c>
      <c r="E43" t="s">
        <v>18</v>
      </c>
      <c r="F43" s="2">
        <f>INGENIERIA!F36</f>
        <v>0.33600000000000002</v>
      </c>
      <c r="G43" s="2">
        <f>VLOOKUP(C43,COMPRAS!B:F,4,0)</f>
        <v>20</v>
      </c>
      <c r="H43" s="2">
        <f t="shared" si="9"/>
        <v>6.7200000000000006</v>
      </c>
      <c r="L43" s="5">
        <f t="shared" si="10"/>
        <v>6.7200000000000006</v>
      </c>
    </row>
    <row r="44" spans="2:12" x14ac:dyDescent="0.35">
      <c r="C44">
        <v>1004</v>
      </c>
      <c r="D44" t="s">
        <v>4</v>
      </c>
      <c r="E44" t="s">
        <v>18</v>
      </c>
      <c r="F44" s="2">
        <f>INGENIERIA!F37</f>
        <v>2.1</v>
      </c>
      <c r="G44" s="2">
        <f>VLOOKUP(C44,COMPRAS!B:F,4,0)</f>
        <v>34</v>
      </c>
      <c r="H44" s="2">
        <f t="shared" si="9"/>
        <v>71.400000000000006</v>
      </c>
      <c r="L44" s="5">
        <f t="shared" si="10"/>
        <v>71.400000000000006</v>
      </c>
    </row>
    <row r="45" spans="2:12" x14ac:dyDescent="0.35">
      <c r="C45">
        <v>1005</v>
      </c>
      <c r="D45" t="s">
        <v>5</v>
      </c>
      <c r="E45" t="s">
        <v>18</v>
      </c>
      <c r="F45" s="2">
        <f>INGENIERIA!F38</f>
        <v>0.70350000000000013</v>
      </c>
      <c r="G45" s="2">
        <f>VLOOKUP(C45,COMPRAS!B:F,4,0)</f>
        <v>15</v>
      </c>
      <c r="H45" s="2">
        <f t="shared" si="9"/>
        <v>10.552500000000002</v>
      </c>
      <c r="L45" s="5">
        <f t="shared" si="10"/>
        <v>10.552500000000002</v>
      </c>
    </row>
    <row r="46" spans="2:12" x14ac:dyDescent="0.35">
      <c r="C46">
        <v>1006</v>
      </c>
      <c r="D46" t="s">
        <v>6</v>
      </c>
      <c r="E46" t="s">
        <v>18</v>
      </c>
      <c r="F46" s="2">
        <f>INGENIERIA!F39</f>
        <v>0.21000000000000002</v>
      </c>
      <c r="G46" s="2">
        <f>VLOOKUP(C46,COMPRAS!B:F,4,0)</f>
        <v>67</v>
      </c>
      <c r="H46" s="2">
        <f t="shared" si="9"/>
        <v>14.070000000000002</v>
      </c>
      <c r="L46" s="5">
        <f t="shared" si="10"/>
        <v>14.070000000000002</v>
      </c>
    </row>
    <row r="47" spans="2:12" x14ac:dyDescent="0.35">
      <c r="C47">
        <v>1007</v>
      </c>
      <c r="D47" t="s">
        <v>7</v>
      </c>
      <c r="E47" t="s">
        <v>18</v>
      </c>
      <c r="F47" s="2">
        <f>INGENIERIA!F40</f>
        <v>0.10500000000000001</v>
      </c>
      <c r="G47" s="2">
        <f>VLOOKUP(C47,COMPRAS!B:F,4,0)</f>
        <v>22</v>
      </c>
      <c r="H47" s="2">
        <f t="shared" si="9"/>
        <v>2.31</v>
      </c>
      <c r="L47" s="5">
        <f t="shared" si="10"/>
        <v>2.31</v>
      </c>
    </row>
    <row r="48" spans="2:12" x14ac:dyDescent="0.35">
      <c r="C48">
        <v>1008</v>
      </c>
      <c r="D48" t="s">
        <v>8</v>
      </c>
      <c r="E48" t="s">
        <v>18</v>
      </c>
      <c r="F48" s="2">
        <f>INGENIERIA!F41</f>
        <v>0.84000000000000008</v>
      </c>
      <c r="G48" s="2">
        <f>VLOOKUP(C48,COMPRAS!B:F,4,0)</f>
        <v>35</v>
      </c>
      <c r="H48" s="2">
        <f t="shared" si="9"/>
        <v>29.400000000000002</v>
      </c>
      <c r="L48" s="5">
        <f t="shared" si="10"/>
        <v>29.400000000000002</v>
      </c>
    </row>
    <row r="49" spans="3:12" x14ac:dyDescent="0.35">
      <c r="C49">
        <v>1009</v>
      </c>
      <c r="D49" t="s">
        <v>9</v>
      </c>
      <c r="E49" t="s">
        <v>19</v>
      </c>
      <c r="F49" s="2">
        <f>INGENIERIA!F42</f>
        <v>1</v>
      </c>
      <c r="G49" s="2">
        <f>VLOOKUP(C49,COMPRAS!B:F,4,0)</f>
        <v>15</v>
      </c>
      <c r="H49" s="2">
        <f t="shared" si="9"/>
        <v>15</v>
      </c>
      <c r="L49" s="5">
        <f t="shared" si="10"/>
        <v>15</v>
      </c>
    </row>
    <row r="50" spans="3:12" x14ac:dyDescent="0.35">
      <c r="C50">
        <v>1010</v>
      </c>
      <c r="D50" t="s">
        <v>10</v>
      </c>
      <c r="E50" t="s">
        <v>19</v>
      </c>
      <c r="F50" s="2">
        <f>INGENIERIA!F43</f>
        <v>1</v>
      </c>
      <c r="G50" s="2">
        <f>VLOOKUP(C50,COMPRAS!B:F,4,0)</f>
        <v>10</v>
      </c>
      <c r="H50" s="2">
        <f t="shared" si="9"/>
        <v>10</v>
      </c>
      <c r="L50" s="5">
        <f t="shared" si="10"/>
        <v>10</v>
      </c>
    </row>
    <row r="51" spans="3:12" x14ac:dyDescent="0.35">
      <c r="C51" s="15" t="s">
        <v>178</v>
      </c>
      <c r="D51" t="s">
        <v>23</v>
      </c>
      <c r="E51" t="s">
        <v>26</v>
      </c>
      <c r="F51" s="2">
        <f>INGENIERIA!F44</f>
        <v>4.5</v>
      </c>
      <c r="G51" s="2"/>
      <c r="H51" s="2"/>
      <c r="I51" s="2">
        <f>$F$51*'CUOTA x MIN (Calculo)'!C5</f>
        <v>1.314776326086079</v>
      </c>
      <c r="J51" s="2">
        <f>$F$51*'CUOTA x MIN (Calculo)'!D5</f>
        <v>0.7428401959820865</v>
      </c>
      <c r="K51" s="2">
        <f>$F$51*'CUOTA x MIN (Calculo)'!E5</f>
        <v>1.0024433095786693</v>
      </c>
      <c r="L51" s="5">
        <f t="shared" si="10"/>
        <v>3.0600598316468348</v>
      </c>
    </row>
    <row r="52" spans="3:12" x14ac:dyDescent="0.35">
      <c r="C52" s="15" t="s">
        <v>179</v>
      </c>
      <c r="D52" t="s">
        <v>24</v>
      </c>
      <c r="E52" t="s">
        <v>26</v>
      </c>
      <c r="F52" s="2">
        <f>INGENIERIA!F45</f>
        <v>6.3</v>
      </c>
      <c r="G52" s="2"/>
      <c r="H52" s="2"/>
      <c r="I52" s="2">
        <f>$F$52*'CUOTA x MIN (Calculo)'!C10</f>
        <v>0.98608224456455917</v>
      </c>
      <c r="J52" s="2">
        <f>$F$52*'CUOTA x MIN (Calculo)'!D10</f>
        <v>0.196489239235726</v>
      </c>
      <c r="K52" s="2">
        <f>$F$52*'CUOTA x MIN (Calculo)'!E10</f>
        <v>0.73227536449301622</v>
      </c>
      <c r="L52" s="5">
        <f t="shared" si="10"/>
        <v>1.9148468482933014</v>
      </c>
    </row>
    <row r="53" spans="3:12" x14ac:dyDescent="0.35">
      <c r="C53" s="15" t="s">
        <v>180</v>
      </c>
      <c r="D53" t="s">
        <v>25</v>
      </c>
      <c r="E53" t="s">
        <v>26</v>
      </c>
      <c r="F53" s="2">
        <f>INGENIERIA!F46</f>
        <v>3.6</v>
      </c>
      <c r="G53" s="2"/>
      <c r="H53" s="2"/>
      <c r="I53" s="2">
        <f>'CUOTA x MIN (Calculo)'!C15*$F$53</f>
        <v>0.98608224456455917</v>
      </c>
      <c r="J53" s="2">
        <f>'CUOTA x MIN (Calculo)'!D15*$F$53</f>
        <v>0.17185109011525879</v>
      </c>
      <c r="K53" s="2">
        <f>'CUOTA x MIN (Calculo)'!E15*$F$53</f>
        <v>0.73227536449301633</v>
      </c>
      <c r="L53" s="5">
        <f t="shared" si="10"/>
        <v>1.8902086991728342</v>
      </c>
    </row>
    <row r="54" spans="3:12" ht="15" thickBot="1" x14ac:dyDescent="0.4">
      <c r="C54" s="16"/>
      <c r="D54" s="16" t="s">
        <v>183</v>
      </c>
      <c r="E54" s="16"/>
      <c r="F54" s="16"/>
      <c r="G54" s="16"/>
      <c r="H54" s="17">
        <f>SUM(H41:H53)</f>
        <v>293.32749999999999</v>
      </c>
      <c r="I54" s="17">
        <f t="shared" ref="I54" si="11">SUM(I41:I53)</f>
        <v>3.2869408152151971</v>
      </c>
      <c r="J54" s="17">
        <f t="shared" ref="J54" si="12">SUM(J41:J53)</f>
        <v>1.1111805253330713</v>
      </c>
      <c r="K54" s="17">
        <f t="shared" ref="K54" si="13">SUM(K41:K53)</f>
        <v>2.4669940385647018</v>
      </c>
      <c r="L54" s="17">
        <f t="shared" ref="L54" si="14">SUM(L41:L53)</f>
        <v>300.19261537911291</v>
      </c>
    </row>
    <row r="55" spans="3:12" ht="15" thickTop="1" x14ac:dyDescent="0.3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91CF-83DD-493B-B544-87B6C0FF30DA}">
  <dimension ref="B5:AC18"/>
  <sheetViews>
    <sheetView workbookViewId="0">
      <selection activeCell="E13" sqref="E13:E15"/>
    </sheetView>
  </sheetViews>
  <sheetFormatPr baseColWidth="10" defaultRowHeight="14.5" x14ac:dyDescent="0.35"/>
  <cols>
    <col min="2" max="2" width="4.453125" bestFit="1" customWidth="1"/>
    <col min="3" max="3" width="14" customWidth="1"/>
    <col min="4" max="4" width="0.90625" customWidth="1"/>
    <col min="5" max="16" width="12.36328125" bestFit="1" customWidth="1"/>
    <col min="17" max="17" width="13.26953125" bestFit="1" customWidth="1"/>
    <col min="25" max="25" width="13.26953125" bestFit="1" customWidth="1"/>
    <col min="26" max="28" width="11.453125" bestFit="1" customWidth="1"/>
    <col min="29" max="29" width="13.26953125" bestFit="1" customWidth="1"/>
  </cols>
  <sheetData>
    <row r="5" spans="2:29" s="18" customFormat="1" ht="13" x14ac:dyDescent="0.3">
      <c r="B5" s="27" t="s">
        <v>193</v>
      </c>
      <c r="C5" s="28"/>
      <c r="D5" s="28"/>
      <c r="E5" s="28"/>
    </row>
    <row r="6" spans="2:29" s="18" customFormat="1" ht="13" x14ac:dyDescent="0.3">
      <c r="B6" s="18" t="s">
        <v>172</v>
      </c>
      <c r="C6" s="18" t="s">
        <v>171</v>
      </c>
      <c r="E6" s="18" t="s">
        <v>103</v>
      </c>
      <c r="F6" s="18" t="s">
        <v>104</v>
      </c>
      <c r="G6" s="18" t="s">
        <v>105</v>
      </c>
      <c r="H6" s="18" t="s">
        <v>106</v>
      </c>
      <c r="I6" s="18" t="s">
        <v>107</v>
      </c>
      <c r="J6" s="18" t="s">
        <v>108</v>
      </c>
      <c r="K6" s="18" t="s">
        <v>109</v>
      </c>
      <c r="L6" s="18" t="s">
        <v>110</v>
      </c>
      <c r="M6" s="18" t="s">
        <v>111</v>
      </c>
      <c r="N6" s="18" t="s">
        <v>112</v>
      </c>
      <c r="O6" s="18" t="s">
        <v>113</v>
      </c>
      <c r="P6" s="18" t="s">
        <v>114</v>
      </c>
      <c r="Q6" s="18" t="s">
        <v>17</v>
      </c>
      <c r="S6" s="23" t="s">
        <v>177</v>
      </c>
      <c r="T6" s="23" t="s">
        <v>98</v>
      </c>
      <c r="U6" s="23" t="s">
        <v>181</v>
      </c>
      <c r="V6" s="23" t="s">
        <v>182</v>
      </c>
      <c r="W6" s="23" t="s">
        <v>17</v>
      </c>
      <c r="Y6" s="23" t="s">
        <v>177</v>
      </c>
      <c r="Z6" s="23" t="s">
        <v>98</v>
      </c>
      <c r="AA6" s="23" t="s">
        <v>181</v>
      </c>
      <c r="AB6" s="23" t="s">
        <v>182</v>
      </c>
      <c r="AC6" s="23" t="s">
        <v>17</v>
      </c>
    </row>
    <row r="7" spans="2:29" s="18" customFormat="1" ht="13" x14ac:dyDescent="0.3">
      <c r="B7" s="18">
        <v>9001</v>
      </c>
      <c r="C7" s="18" t="s">
        <v>0</v>
      </c>
      <c r="E7" s="21">
        <f>INGENIERIA!F56</f>
        <v>25000</v>
      </c>
      <c r="F7" s="21">
        <f>INGENIERIA!G56</f>
        <v>23076.923076923078</v>
      </c>
      <c r="G7" s="21">
        <f>INGENIERIA!H56</f>
        <v>25000</v>
      </c>
      <c r="H7" s="21">
        <f>INGENIERIA!I56</f>
        <v>23076.923076923078</v>
      </c>
      <c r="I7" s="21">
        <f>INGENIERIA!J56</f>
        <v>24000</v>
      </c>
      <c r="J7" s="21">
        <f>INGENIERIA!K56</f>
        <v>23076.923076923078</v>
      </c>
      <c r="K7" s="21">
        <f>INGENIERIA!L56</f>
        <v>25000</v>
      </c>
      <c r="L7" s="21">
        <f>INGENIERIA!M56</f>
        <v>23076.923076923078</v>
      </c>
      <c r="M7" s="21">
        <f>INGENIERIA!N56</f>
        <v>23076.923076923078</v>
      </c>
      <c r="N7" s="21">
        <f>INGENIERIA!O56</f>
        <v>25000</v>
      </c>
      <c r="O7" s="21">
        <f>INGENIERIA!P56</f>
        <v>24000</v>
      </c>
      <c r="P7" s="21">
        <f>INGENIERIA!Q56</f>
        <v>25000</v>
      </c>
      <c r="Q7" s="21">
        <f>SUM(E7:P7)</f>
        <v>288384.61538461538</v>
      </c>
      <c r="S7" s="20">
        <f>'HOJAS COSTEO (calculo)'!H18</f>
        <v>280.55</v>
      </c>
      <c r="T7" s="20">
        <f>'HOJAS COSTEO (calculo)'!I18</f>
        <v>3.6521564613502191</v>
      </c>
      <c r="U7" s="20">
        <f>'HOJAS COSTEO (calculo)'!J18</f>
        <v>1.2346450281478569</v>
      </c>
      <c r="V7" s="20">
        <f>'HOJAS COSTEO (calculo)'!K18</f>
        <v>2.7411044872941135</v>
      </c>
      <c r="W7" s="20">
        <f>'HOJAS COSTEO (calculo)'!L18</f>
        <v>288.1779059767922</v>
      </c>
      <c r="Y7" s="21">
        <f>$Q$7*S7</f>
        <v>80906303.84615384</v>
      </c>
      <c r="Z7" s="21">
        <f>$Q$7*T7</f>
        <v>1053225.7364309209</v>
      </c>
      <c r="AA7" s="21">
        <f>$Q$7*U7</f>
        <v>356052.63157894736</v>
      </c>
      <c r="AB7" s="21">
        <f>$Q$7*V7</f>
        <v>790492.36329735629</v>
      </c>
      <c r="AC7" s="21">
        <f>$Q$7*W7</f>
        <v>83106074.577461079</v>
      </c>
    </row>
    <row r="8" spans="2:29" s="18" customFormat="1" ht="13" x14ac:dyDescent="0.3">
      <c r="B8" s="18">
        <v>9002</v>
      </c>
      <c r="C8" s="18" t="s">
        <v>166</v>
      </c>
      <c r="E8" s="21">
        <f>INGENIERIA!F57</f>
        <v>30000</v>
      </c>
      <c r="F8" s="21">
        <f>INGENIERIA!G57</f>
        <v>27692.307692307691</v>
      </c>
      <c r="G8" s="21">
        <f>INGENIERIA!H57</f>
        <v>30000</v>
      </c>
      <c r="H8" s="21">
        <f>INGENIERIA!I57</f>
        <v>27692.307692307691</v>
      </c>
      <c r="I8" s="21">
        <f>INGENIERIA!J57</f>
        <v>28800</v>
      </c>
      <c r="J8" s="21">
        <f>INGENIERIA!K57</f>
        <v>27692.307692307691</v>
      </c>
      <c r="K8" s="21">
        <f>INGENIERIA!L57</f>
        <v>30000</v>
      </c>
      <c r="L8" s="21">
        <f>INGENIERIA!M57</f>
        <v>27692.307692307691</v>
      </c>
      <c r="M8" s="21">
        <f>INGENIERIA!N57</f>
        <v>27692.307692307691</v>
      </c>
      <c r="N8" s="21">
        <f>INGENIERIA!O57</f>
        <v>30000</v>
      </c>
      <c r="O8" s="21">
        <f>INGENIERIA!P57</f>
        <v>28800</v>
      </c>
      <c r="P8" s="21">
        <f>INGENIERIA!Q57</f>
        <v>30000</v>
      </c>
      <c r="Q8" s="21">
        <f>SUM(E8:P8)</f>
        <v>346061.53846153844</v>
      </c>
      <c r="S8" s="20">
        <f>'HOJAS COSTEO (calculo)'!H36</f>
        <v>239.66200000000003</v>
      </c>
      <c r="T8" s="20">
        <f>'HOJAS COSTEO (calculo)'!I36</f>
        <v>4.017372107485242</v>
      </c>
      <c r="U8" s="20">
        <f>'HOJAS COSTEO (calculo)'!J36</f>
        <v>1.3581095309626425</v>
      </c>
      <c r="V8" s="20">
        <f>'HOJAS COSTEO (calculo)'!K36</f>
        <v>3.0152149360235247</v>
      </c>
      <c r="W8" s="20">
        <f>'HOJAS COSTEO (calculo)'!L36</f>
        <v>248.05269657447144</v>
      </c>
      <c r="Y8" s="21">
        <f>$Q$8*S8</f>
        <v>82937800.430769235</v>
      </c>
      <c r="Z8" s="21">
        <f>$Q$8*T8</f>
        <v>1390257.9720888159</v>
      </c>
      <c r="AA8" s="21">
        <f>$Q$8*U8</f>
        <v>469989.47368421045</v>
      </c>
      <c r="AB8" s="21">
        <f>$Q$8*V8</f>
        <v>1043449.9195525101</v>
      </c>
      <c r="AC8" s="21">
        <f>$Q$8*W8</f>
        <v>85841497.796094775</v>
      </c>
    </row>
    <row r="9" spans="2:29" s="18" customFormat="1" ht="13" x14ac:dyDescent="0.3">
      <c r="B9" s="18">
        <v>9003</v>
      </c>
      <c r="C9" s="18" t="s">
        <v>167</v>
      </c>
      <c r="E9" s="21">
        <f>INGENIERIA!F58</f>
        <v>20000</v>
      </c>
      <c r="F9" s="21">
        <f>INGENIERIA!G58</f>
        <v>18461.538461538461</v>
      </c>
      <c r="G9" s="21">
        <f>INGENIERIA!H58</f>
        <v>20000</v>
      </c>
      <c r="H9" s="21">
        <f>INGENIERIA!I58</f>
        <v>18461.538461538461</v>
      </c>
      <c r="I9" s="21">
        <f>INGENIERIA!J58</f>
        <v>19200</v>
      </c>
      <c r="J9" s="21">
        <f>INGENIERIA!K58</f>
        <v>18461.538461538461</v>
      </c>
      <c r="K9" s="21">
        <f>INGENIERIA!L58</f>
        <v>20000</v>
      </c>
      <c r="L9" s="21">
        <f>INGENIERIA!M58</f>
        <v>18461.538461538461</v>
      </c>
      <c r="M9" s="21">
        <f>INGENIERIA!N58</f>
        <v>18461.538461538461</v>
      </c>
      <c r="N9" s="21">
        <f>INGENIERIA!O58</f>
        <v>20000</v>
      </c>
      <c r="O9" s="21">
        <f>INGENIERIA!P58</f>
        <v>19200</v>
      </c>
      <c r="P9" s="21">
        <f>INGENIERIA!Q58</f>
        <v>20000</v>
      </c>
      <c r="Q9" s="21">
        <f>SUM(E9:P9)</f>
        <v>230707.69230769231</v>
      </c>
      <c r="S9" s="20">
        <f>'HOJAS COSTEO (calculo)'!H54</f>
        <v>293.32749999999999</v>
      </c>
      <c r="T9" s="20">
        <f>'HOJAS COSTEO (calculo)'!I54</f>
        <v>3.2869408152151971</v>
      </c>
      <c r="U9" s="20">
        <f>'HOJAS COSTEO (calculo)'!J54</f>
        <v>1.1111805253330713</v>
      </c>
      <c r="V9" s="20">
        <f>'HOJAS COSTEO (calculo)'!K54</f>
        <v>2.4669940385647018</v>
      </c>
      <c r="W9" s="20">
        <f>'HOJAS COSTEO (calculo)'!L54</f>
        <v>300.19261537911291</v>
      </c>
      <c r="Y9" s="21">
        <f>$Q$9*S9</f>
        <v>67672910.615384609</v>
      </c>
      <c r="Z9" s="21">
        <f>$Q$9*T9</f>
        <v>758322.53023026302</v>
      </c>
      <c r="AA9" s="21">
        <f>$Q$9*U9</f>
        <v>256357.89473684211</v>
      </c>
      <c r="AB9" s="21">
        <f>$Q$9*V9</f>
        <v>569154.50157409639</v>
      </c>
      <c r="AC9" s="21">
        <f>$Q$9*W9</f>
        <v>69256745.541925803</v>
      </c>
    </row>
    <row r="10" spans="2:29" s="18" customFormat="1" ht="13" x14ac:dyDescent="0.3">
      <c r="E10" s="21">
        <f t="shared" ref="E10:Q10" si="0">SUM(E7:E9)</f>
        <v>75000</v>
      </c>
      <c r="F10" s="21">
        <f t="shared" si="0"/>
        <v>69230.76923076922</v>
      </c>
      <c r="G10" s="21">
        <f t="shared" si="0"/>
        <v>75000</v>
      </c>
      <c r="H10" s="21">
        <f t="shared" si="0"/>
        <v>69230.76923076922</v>
      </c>
      <c r="I10" s="21">
        <f t="shared" si="0"/>
        <v>72000</v>
      </c>
      <c r="J10" s="21">
        <f t="shared" si="0"/>
        <v>69230.76923076922</v>
      </c>
      <c r="K10" s="21">
        <f t="shared" si="0"/>
        <v>75000</v>
      </c>
      <c r="L10" s="21">
        <f t="shared" si="0"/>
        <v>69230.76923076922</v>
      </c>
      <c r="M10" s="21">
        <f t="shared" si="0"/>
        <v>69230.76923076922</v>
      </c>
      <c r="N10" s="21">
        <f t="shared" si="0"/>
        <v>75000</v>
      </c>
      <c r="O10" s="21">
        <f t="shared" si="0"/>
        <v>72000</v>
      </c>
      <c r="P10" s="21">
        <f t="shared" si="0"/>
        <v>75000</v>
      </c>
      <c r="Q10" s="21">
        <f t="shared" si="0"/>
        <v>865153.84615384601</v>
      </c>
      <c r="Y10" s="20">
        <f>SUM(Y7:Y9)</f>
        <v>231517014.89230767</v>
      </c>
      <c r="Z10" s="20">
        <f>SUM(Z7:Z9)</f>
        <v>3201806.2387499996</v>
      </c>
      <c r="AA10" s="20">
        <f>SUM(AA7:AA9)</f>
        <v>1082399.9999999998</v>
      </c>
      <c r="AB10" s="20">
        <f>SUM(AB7:AB9)</f>
        <v>2403096.7844239627</v>
      </c>
      <c r="AC10" s="20">
        <f>SUM(AC7:AC9)</f>
        <v>238204317.91548163</v>
      </c>
    </row>
    <row r="11" spans="2:29" s="18" customFormat="1" ht="13" x14ac:dyDescent="0.3">
      <c r="Y11" s="20">
        <f>INGENIERIA!U107-Y10</f>
        <v>0</v>
      </c>
    </row>
    <row r="12" spans="2:29" s="18" customFormat="1" ht="13" x14ac:dyDescent="0.3">
      <c r="C12" s="18" t="s">
        <v>177</v>
      </c>
      <c r="E12" s="21">
        <f t="shared" ref="E12:P12" si="1">SUMPRODUCT(E7:E9,$S$7:$S$9)</f>
        <v>20070160</v>
      </c>
      <c r="F12" s="21">
        <f t="shared" si="1"/>
        <v>18526301.53846154</v>
      </c>
      <c r="G12" s="21">
        <f t="shared" si="1"/>
        <v>20070160</v>
      </c>
      <c r="H12" s="21">
        <f t="shared" si="1"/>
        <v>18526301.53846154</v>
      </c>
      <c r="I12" s="21">
        <f t="shared" si="1"/>
        <v>19267353.600000001</v>
      </c>
      <c r="J12" s="21">
        <f t="shared" si="1"/>
        <v>18526301.53846154</v>
      </c>
      <c r="K12" s="21">
        <f t="shared" si="1"/>
        <v>20070160</v>
      </c>
      <c r="L12" s="21">
        <f t="shared" si="1"/>
        <v>18526301.53846154</v>
      </c>
      <c r="M12" s="21">
        <f t="shared" si="1"/>
        <v>18526301.53846154</v>
      </c>
      <c r="N12" s="21">
        <f t="shared" si="1"/>
        <v>20070160</v>
      </c>
      <c r="O12" s="21">
        <f t="shared" si="1"/>
        <v>19267353.600000001</v>
      </c>
      <c r="P12" s="21">
        <f t="shared" si="1"/>
        <v>20070160</v>
      </c>
      <c r="Q12" s="21">
        <f>SUM(E12:P12)</f>
        <v>231517014.89230767</v>
      </c>
      <c r="AB12" s="20">
        <f>SUM(Z10:AB10)</f>
        <v>6687303.0231739618</v>
      </c>
    </row>
    <row r="13" spans="2:29" s="18" customFormat="1" ht="13" x14ac:dyDescent="0.3">
      <c r="C13" s="18" t="s">
        <v>98</v>
      </c>
      <c r="E13" s="21">
        <f t="shared" ref="E13:P13" si="2">SUMPRODUCT(E7:E9,$T$7:$T$9)</f>
        <v>277563.89106261666</v>
      </c>
      <c r="F13" s="21">
        <f t="shared" si="2"/>
        <v>256212.82251933846</v>
      </c>
      <c r="G13" s="21">
        <f t="shared" si="2"/>
        <v>277563.89106261666</v>
      </c>
      <c r="H13" s="21">
        <f t="shared" si="2"/>
        <v>256212.82251933846</v>
      </c>
      <c r="I13" s="21">
        <f t="shared" si="2"/>
        <v>266461.33542011201</v>
      </c>
      <c r="J13" s="21">
        <f t="shared" si="2"/>
        <v>256212.82251933846</v>
      </c>
      <c r="K13" s="21">
        <f t="shared" si="2"/>
        <v>277563.89106261666</v>
      </c>
      <c r="L13" s="21">
        <f t="shared" si="2"/>
        <v>256212.82251933846</v>
      </c>
      <c r="M13" s="21">
        <f t="shared" si="2"/>
        <v>256212.82251933846</v>
      </c>
      <c r="N13" s="21">
        <f t="shared" si="2"/>
        <v>277563.89106261666</v>
      </c>
      <c r="O13" s="21">
        <f t="shared" si="2"/>
        <v>266461.33542011201</v>
      </c>
      <c r="P13" s="21">
        <f t="shared" si="2"/>
        <v>277563.89106261666</v>
      </c>
      <c r="Q13" s="21">
        <f>SUM(E13:P13)</f>
        <v>3201806.2387500005</v>
      </c>
    </row>
    <row r="14" spans="2:29" s="18" customFormat="1" ht="13" x14ac:dyDescent="0.3">
      <c r="C14" s="18" t="s">
        <v>181</v>
      </c>
      <c r="E14" s="21">
        <f t="shared" ref="E14:P14" si="3">SUMPRODUCT(E7:E9,$U$7:$U$9)</f>
        <v>93833.022139237131</v>
      </c>
      <c r="F14" s="21">
        <f t="shared" si="3"/>
        <v>86615.097359295818</v>
      </c>
      <c r="G14" s="21">
        <f t="shared" si="3"/>
        <v>93833.022139237131</v>
      </c>
      <c r="H14" s="21">
        <f t="shared" si="3"/>
        <v>86615.097359295818</v>
      </c>
      <c r="I14" s="21">
        <f t="shared" si="3"/>
        <v>90079.701253667634</v>
      </c>
      <c r="J14" s="21">
        <f t="shared" si="3"/>
        <v>86615.097359295818</v>
      </c>
      <c r="K14" s="21">
        <f t="shared" si="3"/>
        <v>93833.022139237131</v>
      </c>
      <c r="L14" s="21">
        <f t="shared" si="3"/>
        <v>86615.097359295818</v>
      </c>
      <c r="M14" s="21">
        <f t="shared" si="3"/>
        <v>86615.097359295818</v>
      </c>
      <c r="N14" s="21">
        <f t="shared" si="3"/>
        <v>93833.022139237131</v>
      </c>
      <c r="O14" s="21">
        <f t="shared" si="3"/>
        <v>90079.701253667634</v>
      </c>
      <c r="P14" s="21">
        <f t="shared" si="3"/>
        <v>93833.022139237131</v>
      </c>
      <c r="Q14" s="21">
        <f>SUM(E14:P14)</f>
        <v>1082400</v>
      </c>
    </row>
    <row r="15" spans="2:29" s="18" customFormat="1" ht="13" x14ac:dyDescent="0.3">
      <c r="C15" s="18" t="s">
        <v>182</v>
      </c>
      <c r="E15" s="21">
        <f t="shared" ref="E15:P15" si="4">SUMPRODUCT(E7:E9,$V$7:$V$9)</f>
        <v>208323.94103435261</v>
      </c>
      <c r="F15" s="21">
        <f t="shared" si="4"/>
        <v>192299.02249324854</v>
      </c>
      <c r="G15" s="21">
        <f t="shared" si="4"/>
        <v>208323.94103435261</v>
      </c>
      <c r="H15" s="21">
        <f t="shared" si="4"/>
        <v>192299.02249324854</v>
      </c>
      <c r="I15" s="21">
        <f t="shared" si="4"/>
        <v>199990.98339297849</v>
      </c>
      <c r="J15" s="21">
        <f t="shared" si="4"/>
        <v>192299.02249324854</v>
      </c>
      <c r="K15" s="21">
        <f t="shared" si="4"/>
        <v>208323.94103435261</v>
      </c>
      <c r="L15" s="21">
        <f t="shared" si="4"/>
        <v>192299.02249324854</v>
      </c>
      <c r="M15" s="21">
        <f t="shared" si="4"/>
        <v>192299.02249324854</v>
      </c>
      <c r="N15" s="21">
        <f t="shared" si="4"/>
        <v>208323.94103435261</v>
      </c>
      <c r="O15" s="21">
        <f t="shared" si="4"/>
        <v>199990.98339297849</v>
      </c>
      <c r="P15" s="21">
        <f t="shared" si="4"/>
        <v>208323.94103435261</v>
      </c>
      <c r="Q15" s="21">
        <f>SUM(E15:P15)</f>
        <v>2403096.7844239627</v>
      </c>
    </row>
    <row r="16" spans="2:29" s="18" customFormat="1" ht="13" x14ac:dyDescent="0.3">
      <c r="C16" s="18" t="s">
        <v>17</v>
      </c>
      <c r="E16" s="20">
        <f t="shared" ref="E16:Q16" si="5">SUM(E12:E15)</f>
        <v>20649880.854236208</v>
      </c>
      <c r="F16" s="20">
        <f t="shared" si="5"/>
        <v>19061428.480833422</v>
      </c>
      <c r="G16" s="20">
        <f t="shared" si="5"/>
        <v>20649880.854236208</v>
      </c>
      <c r="H16" s="20">
        <f t="shared" si="5"/>
        <v>19061428.480833422</v>
      </c>
      <c r="I16" s="20">
        <f t="shared" si="5"/>
        <v>19823885.620066762</v>
      </c>
      <c r="J16" s="20">
        <f t="shared" si="5"/>
        <v>19061428.480833422</v>
      </c>
      <c r="K16" s="20">
        <f t="shared" si="5"/>
        <v>20649880.854236208</v>
      </c>
      <c r="L16" s="20">
        <f t="shared" si="5"/>
        <v>19061428.480833422</v>
      </c>
      <c r="M16" s="20">
        <f t="shared" si="5"/>
        <v>19061428.480833422</v>
      </c>
      <c r="N16" s="20">
        <f t="shared" si="5"/>
        <v>20649880.854236208</v>
      </c>
      <c r="O16" s="20">
        <f t="shared" si="5"/>
        <v>19823885.620066762</v>
      </c>
      <c r="P16" s="20">
        <f t="shared" si="5"/>
        <v>20649880.854236208</v>
      </c>
      <c r="Q16" s="20">
        <f t="shared" si="5"/>
        <v>238204317.91548166</v>
      </c>
    </row>
    <row r="17" s="18" customFormat="1" ht="13" x14ac:dyDescent="0.3"/>
    <row r="18" s="18" customFormat="1" ht="13" x14ac:dyDescent="0.3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74D7C-3C2C-4934-9A85-415036048E2C}">
  <dimension ref="B2:Q23"/>
  <sheetViews>
    <sheetView topLeftCell="H10" workbookViewId="0">
      <selection activeCell="P23" sqref="P23"/>
    </sheetView>
  </sheetViews>
  <sheetFormatPr baseColWidth="10" defaultRowHeight="13" x14ac:dyDescent="0.3"/>
  <cols>
    <col min="1" max="1" width="10.90625" style="18"/>
    <col min="2" max="2" width="11" style="18" bestFit="1" customWidth="1"/>
    <col min="3" max="3" width="13.26953125" style="18" customWidth="1"/>
    <col min="4" max="4" width="13.6328125" style="18" bestFit="1" customWidth="1"/>
    <col min="5" max="5" width="12.6328125" style="18" bestFit="1" customWidth="1"/>
    <col min="6" max="6" width="13.6328125" style="18" bestFit="1" customWidth="1"/>
    <col min="7" max="7" width="12.6328125" style="18" bestFit="1" customWidth="1"/>
    <col min="8" max="8" width="13.6328125" style="18" bestFit="1" customWidth="1"/>
    <col min="9" max="9" width="15.54296875" style="18" bestFit="1" customWidth="1"/>
    <col min="10" max="10" width="12.81640625" style="18" customWidth="1"/>
    <col min="11" max="15" width="12.36328125" style="18" bestFit="1" customWidth="1"/>
    <col min="16" max="17" width="13.26953125" style="18" bestFit="1" customWidth="1"/>
    <col min="18" max="16384" width="10.90625" style="18"/>
  </cols>
  <sheetData>
    <row r="2" spans="2:17" x14ac:dyDescent="0.3">
      <c r="B2" s="22" t="s">
        <v>203</v>
      </c>
      <c r="D2" s="44" t="s">
        <v>184</v>
      </c>
      <c r="E2" s="45"/>
      <c r="F2" s="45"/>
      <c r="G2" s="45"/>
      <c r="H2" s="46"/>
      <c r="I2" s="59">
        <v>0.12</v>
      </c>
      <c r="K2" s="59">
        <v>0.2</v>
      </c>
    </row>
    <row r="3" spans="2:17" x14ac:dyDescent="0.3">
      <c r="B3" s="18" t="s">
        <v>172</v>
      </c>
      <c r="C3" s="18" t="s">
        <v>171</v>
      </c>
      <c r="D3" s="18" t="s">
        <v>177</v>
      </c>
      <c r="E3" s="18" t="s">
        <v>98</v>
      </c>
      <c r="F3" s="18" t="s">
        <v>181</v>
      </c>
      <c r="G3" s="18" t="s">
        <v>182</v>
      </c>
      <c r="H3" s="18" t="s">
        <v>17</v>
      </c>
      <c r="I3" s="18" t="s">
        <v>185</v>
      </c>
      <c r="J3" s="18" t="s">
        <v>186</v>
      </c>
      <c r="K3" s="18" t="s">
        <v>187</v>
      </c>
      <c r="L3" s="18" t="s">
        <v>188</v>
      </c>
    </row>
    <row r="4" spans="2:17" x14ac:dyDescent="0.3">
      <c r="B4" s="18">
        <v>9001</v>
      </c>
      <c r="C4" s="18" t="s">
        <v>0</v>
      </c>
      <c r="D4" s="20">
        <f>'HOJAS COSTEO (calculo)'!H18</f>
        <v>280.55</v>
      </c>
      <c r="E4" s="20">
        <f>'HOJAS COSTEO (calculo)'!I18</f>
        <v>3.6521564613502191</v>
      </c>
      <c r="F4" s="20">
        <f>'HOJAS COSTEO (calculo)'!J18</f>
        <v>1.2346450281478569</v>
      </c>
      <c r="G4" s="20">
        <f>'HOJAS COSTEO (calculo)'!K18</f>
        <v>2.7411044872941135</v>
      </c>
      <c r="H4" s="20">
        <f>'HOJAS COSTEO (calculo)'!L18</f>
        <v>288.1779059767922</v>
      </c>
      <c r="I4" s="20">
        <f>H4*I2</f>
        <v>34.581348717215064</v>
      </c>
      <c r="J4" s="20">
        <f>H4+I4</f>
        <v>322.75925469400727</v>
      </c>
      <c r="K4" s="20">
        <f>(J4/(1-K2))-J4</f>
        <v>80.689813673501817</v>
      </c>
      <c r="L4" s="20">
        <f>J4/(1-$K$2)</f>
        <v>403.44906836750908</v>
      </c>
      <c r="M4" s="20"/>
    </row>
    <row r="5" spans="2:17" x14ac:dyDescent="0.3">
      <c r="B5" s="18">
        <v>9002</v>
      </c>
      <c r="C5" s="18" t="s">
        <v>166</v>
      </c>
      <c r="D5" s="20">
        <f>'HOJAS COSTEO (calculo)'!H36</f>
        <v>239.66200000000003</v>
      </c>
      <c r="E5" s="20">
        <f>'HOJAS COSTEO (calculo)'!I36</f>
        <v>4.017372107485242</v>
      </c>
      <c r="F5" s="20">
        <f>'HOJAS COSTEO (calculo)'!J36</f>
        <v>1.3581095309626425</v>
      </c>
      <c r="G5" s="20">
        <f>'HOJAS COSTEO (calculo)'!K36</f>
        <v>3.0152149360235247</v>
      </c>
      <c r="H5" s="20">
        <f>'HOJAS COSTEO (calculo)'!L36</f>
        <v>248.05269657447144</v>
      </c>
      <c r="I5" s="20">
        <f>H5*I2</f>
        <v>29.766323588936572</v>
      </c>
      <c r="J5" s="20">
        <f t="shared" ref="J5:J6" si="0">H5+I5</f>
        <v>277.81902016340803</v>
      </c>
      <c r="K5" s="20">
        <f>(J5/(1-K2))-J5</f>
        <v>69.454755040851978</v>
      </c>
      <c r="L5" s="20">
        <f t="shared" ref="L5:L6" si="1">J5/(1-$K$2)</f>
        <v>347.27377520426001</v>
      </c>
      <c r="M5" s="20"/>
    </row>
    <row r="6" spans="2:17" x14ac:dyDescent="0.3">
      <c r="B6" s="18">
        <v>9003</v>
      </c>
      <c r="C6" s="18" t="s">
        <v>167</v>
      </c>
      <c r="D6" s="20">
        <f>'HOJAS COSTEO (calculo)'!H54</f>
        <v>293.32749999999999</v>
      </c>
      <c r="E6" s="20">
        <f>'HOJAS COSTEO (calculo)'!I54</f>
        <v>3.2869408152151971</v>
      </c>
      <c r="F6" s="20">
        <f>'HOJAS COSTEO (calculo)'!J54</f>
        <v>1.1111805253330713</v>
      </c>
      <c r="G6" s="20">
        <f>'HOJAS COSTEO (calculo)'!K54</f>
        <v>2.4669940385647018</v>
      </c>
      <c r="H6" s="20">
        <f>'HOJAS COSTEO (calculo)'!L54</f>
        <v>300.19261537911291</v>
      </c>
      <c r="I6" s="20">
        <f>H6*I2</f>
        <v>36.023113845493548</v>
      </c>
      <c r="J6" s="20">
        <f t="shared" si="0"/>
        <v>336.21572922460643</v>
      </c>
      <c r="K6" s="20">
        <f>(J6/(1-K2))-J6</f>
        <v>84.05393230615158</v>
      </c>
      <c r="L6" s="20">
        <f t="shared" si="1"/>
        <v>420.26966153075801</v>
      </c>
      <c r="M6" s="20"/>
    </row>
    <row r="7" spans="2:17" x14ac:dyDescent="0.3">
      <c r="M7" s="58"/>
    </row>
    <row r="10" spans="2:17" x14ac:dyDescent="0.3">
      <c r="B10" s="22" t="s">
        <v>189</v>
      </c>
    </row>
    <row r="11" spans="2:17" x14ac:dyDescent="0.3">
      <c r="B11" s="18" t="s">
        <v>172</v>
      </c>
      <c r="C11" s="18" t="s">
        <v>171</v>
      </c>
      <c r="D11" s="18" t="s">
        <v>103</v>
      </c>
      <c r="E11" s="18" t="s">
        <v>104</v>
      </c>
      <c r="F11" s="18" t="s">
        <v>105</v>
      </c>
      <c r="G11" s="18" t="s">
        <v>106</v>
      </c>
      <c r="H11" s="18" t="s">
        <v>107</v>
      </c>
      <c r="I11" s="18" t="s">
        <v>108</v>
      </c>
      <c r="J11" s="18" t="s">
        <v>109</v>
      </c>
      <c r="K11" s="18" t="s">
        <v>110</v>
      </c>
      <c r="L11" s="18" t="s">
        <v>111</v>
      </c>
      <c r="M11" s="18" t="s">
        <v>112</v>
      </c>
      <c r="N11" s="18" t="s">
        <v>113</v>
      </c>
      <c r="O11" s="18" t="s">
        <v>114</v>
      </c>
      <c r="P11" s="23" t="s">
        <v>17</v>
      </c>
      <c r="Q11" s="23" t="s">
        <v>191</v>
      </c>
    </row>
    <row r="12" spans="2:17" x14ac:dyDescent="0.3">
      <c r="B12" s="18">
        <v>9001</v>
      </c>
      <c r="C12" s="18" t="s">
        <v>0</v>
      </c>
      <c r="D12" s="21">
        <f>INGENIERIA!F56</f>
        <v>25000</v>
      </c>
      <c r="E12" s="21">
        <f>INGENIERIA!G56</f>
        <v>23076.923076923078</v>
      </c>
      <c r="F12" s="21">
        <f>INGENIERIA!H56</f>
        <v>25000</v>
      </c>
      <c r="G12" s="21">
        <f>INGENIERIA!I56</f>
        <v>23076.923076923078</v>
      </c>
      <c r="H12" s="21">
        <f>INGENIERIA!J56</f>
        <v>24000</v>
      </c>
      <c r="I12" s="21">
        <f>INGENIERIA!K56</f>
        <v>23076.923076923078</v>
      </c>
      <c r="J12" s="21">
        <f>INGENIERIA!L56</f>
        <v>25000</v>
      </c>
      <c r="K12" s="21">
        <f>INGENIERIA!M56</f>
        <v>23076.923076923078</v>
      </c>
      <c r="L12" s="21">
        <f>INGENIERIA!N56</f>
        <v>23076.923076923078</v>
      </c>
      <c r="M12" s="21">
        <f>INGENIERIA!O56</f>
        <v>25000</v>
      </c>
      <c r="N12" s="21">
        <f>INGENIERIA!P56</f>
        <v>24000</v>
      </c>
      <c r="O12" s="21">
        <f>INGENIERIA!Q56</f>
        <v>25000</v>
      </c>
      <c r="P12" s="21">
        <f>INGENIERIA!R56</f>
        <v>288384.61538461538</v>
      </c>
      <c r="Q12" s="21">
        <f>P12*L4</f>
        <v>116348504.40844551</v>
      </c>
    </row>
    <row r="13" spans="2:17" x14ac:dyDescent="0.3">
      <c r="B13" s="18">
        <v>9002</v>
      </c>
      <c r="C13" s="18" t="s">
        <v>166</v>
      </c>
      <c r="D13" s="21">
        <f>INGENIERIA!F57</f>
        <v>30000</v>
      </c>
      <c r="E13" s="21">
        <f>INGENIERIA!G57</f>
        <v>27692.307692307691</v>
      </c>
      <c r="F13" s="21">
        <f>INGENIERIA!H57</f>
        <v>30000</v>
      </c>
      <c r="G13" s="21">
        <f>INGENIERIA!I57</f>
        <v>27692.307692307691</v>
      </c>
      <c r="H13" s="21">
        <f>INGENIERIA!J57</f>
        <v>28800</v>
      </c>
      <c r="I13" s="21">
        <f>INGENIERIA!K57</f>
        <v>27692.307692307691</v>
      </c>
      <c r="J13" s="21">
        <f>INGENIERIA!L57</f>
        <v>30000</v>
      </c>
      <c r="K13" s="21">
        <f>INGENIERIA!M57</f>
        <v>27692.307692307691</v>
      </c>
      <c r="L13" s="21">
        <f>INGENIERIA!N57</f>
        <v>27692.307692307691</v>
      </c>
      <c r="M13" s="21">
        <f>INGENIERIA!O57</f>
        <v>30000</v>
      </c>
      <c r="N13" s="21">
        <f>INGENIERIA!P57</f>
        <v>28800</v>
      </c>
      <c r="O13" s="21">
        <f>INGENIERIA!Q57</f>
        <v>30000</v>
      </c>
      <c r="P13" s="21">
        <f>INGENIERIA!R57</f>
        <v>346061.53846153844</v>
      </c>
      <c r="Q13" s="21">
        <f t="shared" ref="Q13:Q14" si="2">P13*L5</f>
        <v>120178096.91453268</v>
      </c>
    </row>
    <row r="14" spans="2:17" x14ac:dyDescent="0.3">
      <c r="B14" s="18">
        <v>9003</v>
      </c>
      <c r="C14" s="18" t="s">
        <v>167</v>
      </c>
      <c r="D14" s="21">
        <f>INGENIERIA!F58</f>
        <v>20000</v>
      </c>
      <c r="E14" s="21">
        <f>INGENIERIA!G58</f>
        <v>18461.538461538461</v>
      </c>
      <c r="F14" s="21">
        <f>INGENIERIA!H58</f>
        <v>20000</v>
      </c>
      <c r="G14" s="21">
        <f>INGENIERIA!I58</f>
        <v>18461.538461538461</v>
      </c>
      <c r="H14" s="21">
        <f>INGENIERIA!J58</f>
        <v>19200</v>
      </c>
      <c r="I14" s="21">
        <f>INGENIERIA!K58</f>
        <v>18461.538461538461</v>
      </c>
      <c r="J14" s="21">
        <f>INGENIERIA!L58</f>
        <v>20000</v>
      </c>
      <c r="K14" s="21">
        <f>INGENIERIA!M58</f>
        <v>18461.538461538461</v>
      </c>
      <c r="L14" s="21">
        <f>INGENIERIA!N58</f>
        <v>18461.538461538461</v>
      </c>
      <c r="M14" s="21">
        <f>INGENIERIA!O58</f>
        <v>20000</v>
      </c>
      <c r="N14" s="21">
        <f>INGENIERIA!P58</f>
        <v>19200</v>
      </c>
      <c r="O14" s="21">
        <f>INGENIERIA!Q58</f>
        <v>20000</v>
      </c>
      <c r="P14" s="21">
        <f>INGENIERIA!R58</f>
        <v>230707.69230769231</v>
      </c>
      <c r="Q14" s="21">
        <f t="shared" si="2"/>
        <v>96959443.758696109</v>
      </c>
    </row>
    <row r="15" spans="2:17" x14ac:dyDescent="0.3">
      <c r="D15" s="21">
        <f>SUM(D12:D14)</f>
        <v>75000</v>
      </c>
      <c r="E15" s="21">
        <f t="shared" ref="E15:Q15" si="3">SUM(E12:E14)</f>
        <v>69230.76923076922</v>
      </c>
      <c r="F15" s="21">
        <f t="shared" si="3"/>
        <v>75000</v>
      </c>
      <c r="G15" s="21">
        <f t="shared" si="3"/>
        <v>69230.76923076922</v>
      </c>
      <c r="H15" s="21">
        <f t="shared" si="3"/>
        <v>72000</v>
      </c>
      <c r="I15" s="21">
        <f t="shared" si="3"/>
        <v>69230.76923076922</v>
      </c>
      <c r="J15" s="21">
        <f t="shared" si="3"/>
        <v>75000</v>
      </c>
      <c r="K15" s="21">
        <f t="shared" si="3"/>
        <v>69230.76923076922</v>
      </c>
      <c r="L15" s="21">
        <f t="shared" si="3"/>
        <v>69230.76923076922</v>
      </c>
      <c r="M15" s="21">
        <f t="shared" si="3"/>
        <v>75000</v>
      </c>
      <c r="N15" s="21">
        <f t="shared" si="3"/>
        <v>72000</v>
      </c>
      <c r="O15" s="21">
        <f t="shared" si="3"/>
        <v>75000</v>
      </c>
      <c r="P15" s="21">
        <f t="shared" si="3"/>
        <v>865153.84615384601</v>
      </c>
      <c r="Q15" s="21">
        <f t="shared" si="3"/>
        <v>333486045.08167434</v>
      </c>
    </row>
    <row r="16" spans="2:17" x14ac:dyDescent="0.3"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</row>
    <row r="17" spans="2:17" x14ac:dyDescent="0.3"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</row>
    <row r="18" spans="2:17" x14ac:dyDescent="0.3">
      <c r="B18" s="22" t="s">
        <v>190</v>
      </c>
    </row>
    <row r="19" spans="2:17" x14ac:dyDescent="0.3">
      <c r="B19" s="18" t="s">
        <v>172</v>
      </c>
      <c r="C19" s="18" t="s">
        <v>171</v>
      </c>
      <c r="D19" s="18" t="s">
        <v>103</v>
      </c>
      <c r="E19" s="18" t="s">
        <v>104</v>
      </c>
      <c r="F19" s="18" t="s">
        <v>105</v>
      </c>
      <c r="G19" s="18" t="s">
        <v>106</v>
      </c>
      <c r="H19" s="18" t="s">
        <v>107</v>
      </c>
      <c r="I19" s="18" t="s">
        <v>108</v>
      </c>
      <c r="J19" s="18" t="s">
        <v>109</v>
      </c>
      <c r="K19" s="18" t="s">
        <v>110</v>
      </c>
      <c r="L19" s="18" t="s">
        <v>111</v>
      </c>
      <c r="M19" s="18" t="s">
        <v>112</v>
      </c>
      <c r="N19" s="18" t="s">
        <v>113</v>
      </c>
      <c r="O19" s="18" t="s">
        <v>114</v>
      </c>
      <c r="P19" s="18" t="s">
        <v>17</v>
      </c>
    </row>
    <row r="20" spans="2:17" x14ac:dyDescent="0.3">
      <c r="B20" s="18">
        <v>9001</v>
      </c>
      <c r="C20" s="18" t="s">
        <v>0</v>
      </c>
      <c r="D20" s="21">
        <f>D12*$L$4</f>
        <v>10086226.709187727</v>
      </c>
      <c r="E20" s="21">
        <f t="shared" ref="E20:O20" si="4">E12*$L$4</f>
        <v>9310363.1161732879</v>
      </c>
      <c r="F20" s="21">
        <f t="shared" si="4"/>
        <v>10086226.709187727</v>
      </c>
      <c r="G20" s="21">
        <f t="shared" si="4"/>
        <v>9310363.1161732879</v>
      </c>
      <c r="H20" s="21">
        <f t="shared" si="4"/>
        <v>9682777.6408202183</v>
      </c>
      <c r="I20" s="21">
        <f t="shared" si="4"/>
        <v>9310363.1161732879</v>
      </c>
      <c r="J20" s="21">
        <f t="shared" si="4"/>
        <v>10086226.709187727</v>
      </c>
      <c r="K20" s="21">
        <f t="shared" si="4"/>
        <v>9310363.1161732879</v>
      </c>
      <c r="L20" s="21">
        <f t="shared" si="4"/>
        <v>9310363.1161732879</v>
      </c>
      <c r="M20" s="21">
        <f t="shared" si="4"/>
        <v>10086226.709187727</v>
      </c>
      <c r="N20" s="21">
        <f t="shared" si="4"/>
        <v>9682777.6408202183</v>
      </c>
      <c r="O20" s="21">
        <f t="shared" si="4"/>
        <v>10086226.709187727</v>
      </c>
      <c r="P20" s="21">
        <f>SUM(D20:O20)</f>
        <v>116348504.40844551</v>
      </c>
      <c r="Q20" s="21"/>
    </row>
    <row r="21" spans="2:17" x14ac:dyDescent="0.3">
      <c r="B21" s="18">
        <v>9002</v>
      </c>
      <c r="C21" s="18" t="s">
        <v>166</v>
      </c>
      <c r="D21" s="21">
        <f>D13*$L$5</f>
        <v>10418213.256127801</v>
      </c>
      <c r="E21" s="21">
        <f t="shared" ref="E21:O21" si="5">E13*$L$5</f>
        <v>9616812.2364256606</v>
      </c>
      <c r="F21" s="21">
        <f t="shared" si="5"/>
        <v>10418213.256127801</v>
      </c>
      <c r="G21" s="21">
        <f t="shared" si="5"/>
        <v>9616812.2364256606</v>
      </c>
      <c r="H21" s="21">
        <f t="shared" si="5"/>
        <v>10001484.725882689</v>
      </c>
      <c r="I21" s="21">
        <f t="shared" si="5"/>
        <v>9616812.2364256606</v>
      </c>
      <c r="J21" s="21">
        <f t="shared" si="5"/>
        <v>10418213.256127801</v>
      </c>
      <c r="K21" s="21">
        <f t="shared" si="5"/>
        <v>9616812.2364256606</v>
      </c>
      <c r="L21" s="21">
        <f t="shared" si="5"/>
        <v>9616812.2364256606</v>
      </c>
      <c r="M21" s="21">
        <f t="shared" si="5"/>
        <v>10418213.256127801</v>
      </c>
      <c r="N21" s="21">
        <f t="shared" si="5"/>
        <v>10001484.725882689</v>
      </c>
      <c r="O21" s="21">
        <f t="shared" si="5"/>
        <v>10418213.256127801</v>
      </c>
      <c r="P21" s="21">
        <f t="shared" ref="P21:P22" si="6">SUM(D21:O21)</f>
        <v>120178096.91453271</v>
      </c>
      <c r="Q21" s="21"/>
    </row>
    <row r="22" spans="2:17" x14ac:dyDescent="0.3">
      <c r="B22" s="18">
        <v>9003</v>
      </c>
      <c r="C22" s="18" t="s">
        <v>167</v>
      </c>
      <c r="D22" s="21">
        <f>D14*$L$6</f>
        <v>8405393.2306151595</v>
      </c>
      <c r="E22" s="21">
        <f t="shared" ref="E22:O22" si="7">E14*$L$6</f>
        <v>7758824.52056784</v>
      </c>
      <c r="F22" s="21">
        <f t="shared" si="7"/>
        <v>8405393.2306151595</v>
      </c>
      <c r="G22" s="21">
        <f t="shared" si="7"/>
        <v>7758824.52056784</v>
      </c>
      <c r="H22" s="21">
        <f t="shared" si="7"/>
        <v>8069177.501390554</v>
      </c>
      <c r="I22" s="21">
        <f t="shared" si="7"/>
        <v>7758824.52056784</v>
      </c>
      <c r="J22" s="21">
        <f t="shared" si="7"/>
        <v>8405393.2306151595</v>
      </c>
      <c r="K22" s="21">
        <f t="shared" si="7"/>
        <v>7758824.52056784</v>
      </c>
      <c r="L22" s="21">
        <f t="shared" si="7"/>
        <v>7758824.52056784</v>
      </c>
      <c r="M22" s="21">
        <f t="shared" si="7"/>
        <v>8405393.2306151595</v>
      </c>
      <c r="N22" s="21">
        <f t="shared" si="7"/>
        <v>8069177.501390554</v>
      </c>
      <c r="O22" s="21">
        <f t="shared" si="7"/>
        <v>8405393.2306151595</v>
      </c>
      <c r="P22" s="21">
        <f t="shared" si="6"/>
        <v>96959443.758696094</v>
      </c>
      <c r="Q22" s="21"/>
    </row>
    <row r="23" spans="2:17" x14ac:dyDescent="0.3">
      <c r="D23" s="20">
        <f>SUM(D20:D22)</f>
        <v>28909833.19593069</v>
      </c>
      <c r="E23" s="20">
        <f t="shared" ref="E23:P23" si="8">SUM(E20:E22)</f>
        <v>26685999.873166792</v>
      </c>
      <c r="F23" s="20">
        <f t="shared" si="8"/>
        <v>28909833.19593069</v>
      </c>
      <c r="G23" s="20">
        <f t="shared" si="8"/>
        <v>26685999.873166792</v>
      </c>
      <c r="H23" s="20">
        <f t="shared" si="8"/>
        <v>27753439.868093461</v>
      </c>
      <c r="I23" s="20">
        <f t="shared" si="8"/>
        <v>26685999.873166792</v>
      </c>
      <c r="J23" s="20">
        <f t="shared" si="8"/>
        <v>28909833.19593069</v>
      </c>
      <c r="K23" s="20">
        <f t="shared" si="8"/>
        <v>26685999.873166792</v>
      </c>
      <c r="L23" s="20">
        <f t="shared" si="8"/>
        <v>26685999.873166792</v>
      </c>
      <c r="M23" s="20">
        <f t="shared" si="8"/>
        <v>28909833.19593069</v>
      </c>
      <c r="N23" s="20">
        <f t="shared" si="8"/>
        <v>27753439.868093461</v>
      </c>
      <c r="O23" s="20">
        <f t="shared" si="8"/>
        <v>28909833.19593069</v>
      </c>
      <c r="P23" s="20">
        <f t="shared" si="8"/>
        <v>333486045.08167428</v>
      </c>
    </row>
  </sheetData>
  <mergeCells count="1">
    <mergeCell ref="D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95748-9858-4308-A59D-131B824E85D8}">
  <dimension ref="B2:O15"/>
  <sheetViews>
    <sheetView workbookViewId="0">
      <selection activeCell="C15" sqref="C15"/>
    </sheetView>
  </sheetViews>
  <sheetFormatPr baseColWidth="10" defaultRowHeight="13" x14ac:dyDescent="0.3"/>
  <cols>
    <col min="1" max="1" width="3.6328125" style="18" customWidth="1"/>
    <col min="2" max="2" width="18.7265625" style="18" bestFit="1" customWidth="1"/>
    <col min="3" max="3" width="13.6328125" style="18" bestFit="1" customWidth="1"/>
    <col min="4" max="14" width="12.36328125" style="18" bestFit="1" customWidth="1"/>
    <col min="15" max="15" width="13.26953125" style="18" bestFit="1" customWidth="1"/>
    <col min="16" max="16384" width="10.90625" style="18"/>
  </cols>
  <sheetData>
    <row r="2" spans="2:15" x14ac:dyDescent="0.3">
      <c r="C2" s="18" t="s">
        <v>103</v>
      </c>
      <c r="D2" s="18" t="s">
        <v>104</v>
      </c>
      <c r="E2" s="18" t="s">
        <v>105</v>
      </c>
      <c r="F2" s="18" t="s">
        <v>106</v>
      </c>
      <c r="G2" s="18" t="s">
        <v>107</v>
      </c>
      <c r="H2" s="18" t="s">
        <v>108</v>
      </c>
      <c r="I2" s="18" t="s">
        <v>109</v>
      </c>
      <c r="J2" s="18" t="s">
        <v>110</v>
      </c>
      <c r="K2" s="18" t="s">
        <v>111</v>
      </c>
      <c r="L2" s="18" t="s">
        <v>112</v>
      </c>
      <c r="M2" s="18" t="s">
        <v>113</v>
      </c>
      <c r="N2" s="18" t="s">
        <v>114</v>
      </c>
      <c r="O2" s="18" t="s">
        <v>17</v>
      </c>
    </row>
    <row r="3" spans="2:15" x14ac:dyDescent="0.3">
      <c r="B3" s="18" t="s">
        <v>194</v>
      </c>
      <c r="C3" s="20">
        <f>VENTAS!D23</f>
        <v>28909833.19593069</v>
      </c>
      <c r="D3" s="20">
        <f>VENTAS!E23</f>
        <v>26685999.873166792</v>
      </c>
      <c r="E3" s="20">
        <f>VENTAS!F23</f>
        <v>28909833.19593069</v>
      </c>
      <c r="F3" s="20">
        <f>VENTAS!G23</f>
        <v>26685999.873166792</v>
      </c>
      <c r="G3" s="20">
        <f>VENTAS!H23</f>
        <v>27753439.868093461</v>
      </c>
      <c r="H3" s="20">
        <f>VENTAS!I23</f>
        <v>26685999.873166792</v>
      </c>
      <c r="I3" s="20">
        <f>VENTAS!J23</f>
        <v>28909833.19593069</v>
      </c>
      <c r="J3" s="20">
        <f>VENTAS!K23</f>
        <v>26685999.873166792</v>
      </c>
      <c r="K3" s="20">
        <f>VENTAS!L23</f>
        <v>26685999.873166792</v>
      </c>
      <c r="L3" s="20">
        <f>VENTAS!M23</f>
        <v>28909833.19593069</v>
      </c>
      <c r="M3" s="20">
        <f>VENTAS!N23</f>
        <v>27753439.868093461</v>
      </c>
      <c r="N3" s="20">
        <f>VENTAS!O23</f>
        <v>28909833.19593069</v>
      </c>
      <c r="O3" s="20">
        <f>VENTAS!P23</f>
        <v>333486045.08167428</v>
      </c>
    </row>
    <row r="5" spans="2:15" x14ac:dyDescent="0.3">
      <c r="B5" s="18" t="s">
        <v>195</v>
      </c>
      <c r="C5" s="20">
        <f>'VALUACION PROD (Calculo)'!E16</f>
        <v>20649880.854236208</v>
      </c>
      <c r="D5" s="20">
        <f>'VALUACION PROD (Calculo)'!F16</f>
        <v>19061428.480833422</v>
      </c>
      <c r="E5" s="20">
        <f>'VALUACION PROD (Calculo)'!G16</f>
        <v>20649880.854236208</v>
      </c>
      <c r="F5" s="20">
        <f>'VALUACION PROD (Calculo)'!H16</f>
        <v>19061428.480833422</v>
      </c>
      <c r="G5" s="20">
        <f>'VALUACION PROD (Calculo)'!I16</f>
        <v>19823885.620066762</v>
      </c>
      <c r="H5" s="20">
        <f>'VALUACION PROD (Calculo)'!J16</f>
        <v>19061428.480833422</v>
      </c>
      <c r="I5" s="20">
        <f>'VALUACION PROD (Calculo)'!K16</f>
        <v>20649880.854236208</v>
      </c>
      <c r="J5" s="20">
        <f>'VALUACION PROD (Calculo)'!L16</f>
        <v>19061428.480833422</v>
      </c>
      <c r="K5" s="20">
        <f>'VALUACION PROD (Calculo)'!M16</f>
        <v>19061428.480833422</v>
      </c>
      <c r="L5" s="20">
        <f>'VALUACION PROD (Calculo)'!N16</f>
        <v>20649880.854236208</v>
      </c>
      <c r="M5" s="20">
        <f>'VALUACION PROD (Calculo)'!O16</f>
        <v>19823885.620066762</v>
      </c>
      <c r="N5" s="20">
        <f>'VALUACION PROD (Calculo)'!P16</f>
        <v>20649880.854236208</v>
      </c>
      <c r="O5" s="20">
        <f>'VALUACION PROD (Calculo)'!Q16</f>
        <v>238204317.91548166</v>
      </c>
    </row>
    <row r="6" spans="2:15" x14ac:dyDescent="0.3">
      <c r="B6" s="18" t="s">
        <v>196</v>
      </c>
      <c r="C6" s="20">
        <f>'COSTOS (Calculo)'!G330</f>
        <v>-17626.431599109666</v>
      </c>
      <c r="D6" s="20">
        <f>'COSTOS (Calculo)'!H330</f>
        <v>2205.3923424028326</v>
      </c>
      <c r="E6" s="20">
        <f>'COSTOS (Calculo)'!I330</f>
        <v>-17626.431599109666</v>
      </c>
      <c r="F6" s="20">
        <f>'COSTOS (Calculo)'!J330</f>
        <v>18700.490128117031</v>
      </c>
      <c r="G6" s="20">
        <f>'COSTOS (Calculo)'!K330</f>
        <v>5562.4025703385705</v>
      </c>
      <c r="H6" s="20">
        <f>'COSTOS (Calculo)'!L330</f>
        <v>18700.490128117031</v>
      </c>
      <c r="I6" s="20">
        <f>'COSTOS (Calculo)'!M330</f>
        <v>-17626.431599109666</v>
      </c>
      <c r="J6" s="20">
        <f>'COSTOS (Calculo)'!N330</f>
        <v>26967.480265213875</v>
      </c>
      <c r="K6" s="20">
        <f>'COSTOS (Calculo)'!O330</f>
        <v>18700.490128117031</v>
      </c>
      <c r="L6" s="20">
        <f>'COSTOS (Calculo)'!P330</f>
        <v>-17626.431599109666</v>
      </c>
      <c r="M6" s="20">
        <f>'COSTOS (Calculo)'!Q330</f>
        <v>-2704.5875667582732</v>
      </c>
      <c r="N6" s="20">
        <f>'COSTOS (Calculo)'!R330</f>
        <v>-17626.431599109666</v>
      </c>
      <c r="O6" s="20">
        <f>'COSTOS (Calculo)'!S330</f>
        <v>0</v>
      </c>
    </row>
    <row r="7" spans="2:15" x14ac:dyDescent="0.3">
      <c r="B7" s="18" t="s">
        <v>186</v>
      </c>
      <c r="C7" s="20">
        <f>C5+C6</f>
        <v>20632254.422637098</v>
      </c>
      <c r="D7" s="20">
        <f t="shared" ref="D7:O7" si="0">D5+D6</f>
        <v>19063633.873175826</v>
      </c>
      <c r="E7" s="20">
        <f t="shared" si="0"/>
        <v>20632254.422637098</v>
      </c>
      <c r="F7" s="20">
        <f t="shared" si="0"/>
        <v>19080128.970961541</v>
      </c>
      <c r="G7" s="20">
        <f t="shared" si="0"/>
        <v>19829448.022637099</v>
      </c>
      <c r="H7" s="20">
        <f t="shared" si="0"/>
        <v>19080128.970961541</v>
      </c>
      <c r="I7" s="20">
        <f t="shared" si="0"/>
        <v>20632254.422637098</v>
      </c>
      <c r="J7" s="20">
        <f t="shared" si="0"/>
        <v>19088395.961098637</v>
      </c>
      <c r="K7" s="20">
        <f t="shared" si="0"/>
        <v>19080128.970961541</v>
      </c>
      <c r="L7" s="20">
        <f t="shared" si="0"/>
        <v>20632254.422637098</v>
      </c>
      <c r="M7" s="20">
        <f t="shared" si="0"/>
        <v>19821181.032500003</v>
      </c>
      <c r="N7" s="20">
        <f t="shared" si="0"/>
        <v>20632254.422637098</v>
      </c>
      <c r="O7" s="20">
        <f t="shared" si="0"/>
        <v>238204317.91548166</v>
      </c>
    </row>
    <row r="9" spans="2:15" x14ac:dyDescent="0.3">
      <c r="B9" s="18" t="s">
        <v>200</v>
      </c>
      <c r="C9" s="20">
        <f>C3-C7</f>
        <v>8277578.773293592</v>
      </c>
      <c r="D9" s="20">
        <f t="shared" ref="D9:O9" si="1">D3-D7</f>
        <v>7622365.9999909662</v>
      </c>
      <c r="E9" s="20">
        <f t="shared" si="1"/>
        <v>8277578.773293592</v>
      </c>
      <c r="F9" s="20">
        <f t="shared" si="1"/>
        <v>7605870.9022052512</v>
      </c>
      <c r="G9" s="20">
        <f t="shared" si="1"/>
        <v>7923991.8454563618</v>
      </c>
      <c r="H9" s="20">
        <f t="shared" si="1"/>
        <v>7605870.9022052512</v>
      </c>
      <c r="I9" s="20">
        <f t="shared" si="1"/>
        <v>8277578.773293592</v>
      </c>
      <c r="J9" s="20">
        <f t="shared" si="1"/>
        <v>7597603.9120681547</v>
      </c>
      <c r="K9" s="20">
        <f t="shared" si="1"/>
        <v>7605870.9022052512</v>
      </c>
      <c r="L9" s="20">
        <f t="shared" si="1"/>
        <v>8277578.773293592</v>
      </c>
      <c r="M9" s="20">
        <f t="shared" si="1"/>
        <v>7932258.8355934583</v>
      </c>
      <c r="N9" s="20">
        <f t="shared" si="1"/>
        <v>8277578.773293592</v>
      </c>
      <c r="O9" s="20">
        <f t="shared" si="1"/>
        <v>95281727.166192621</v>
      </c>
    </row>
    <row r="10" spans="2:15" x14ac:dyDescent="0.3">
      <c r="C10" s="29">
        <f>C9/C3</f>
        <v>0.28632398939121978</v>
      </c>
      <c r="D10" s="29">
        <f t="shared" ref="D10:O10" si="2">D9/D3</f>
        <v>0.28563164341671826</v>
      </c>
      <c r="E10" s="29">
        <f t="shared" si="2"/>
        <v>0.28632398939121978</v>
      </c>
      <c r="F10" s="29">
        <f t="shared" si="2"/>
        <v>0.28501352538238894</v>
      </c>
      <c r="G10" s="29">
        <f t="shared" si="2"/>
        <v>0.28551386361897868</v>
      </c>
      <c r="H10" s="29">
        <f t="shared" si="2"/>
        <v>0.28501352538238894</v>
      </c>
      <c r="I10" s="29">
        <f t="shared" si="2"/>
        <v>0.28632398939121978</v>
      </c>
      <c r="J10" s="29">
        <f t="shared" si="2"/>
        <v>0.28470373784673775</v>
      </c>
      <c r="K10" s="29">
        <f t="shared" si="2"/>
        <v>0.28501352538238894</v>
      </c>
      <c r="L10" s="29">
        <f t="shared" si="2"/>
        <v>0.28632398939121978</v>
      </c>
      <c r="M10" s="29">
        <f t="shared" si="2"/>
        <v>0.28581173624941253</v>
      </c>
      <c r="N10" s="29">
        <f t="shared" si="2"/>
        <v>0.28632398939121978</v>
      </c>
      <c r="O10" s="29">
        <f t="shared" si="2"/>
        <v>0.28571428571428564</v>
      </c>
    </row>
    <row r="12" spans="2:15" x14ac:dyDescent="0.3">
      <c r="B12" s="18" t="s">
        <v>201</v>
      </c>
      <c r="C12" s="20">
        <f>C5*0.12</f>
        <v>2477985.7025083448</v>
      </c>
      <c r="D12" s="20">
        <f t="shared" ref="D12:O12" si="3">D5*0.12</f>
        <v>2287371.4177000108</v>
      </c>
      <c r="E12" s="20">
        <f t="shared" si="3"/>
        <v>2477985.7025083448</v>
      </c>
      <c r="F12" s="20">
        <f t="shared" si="3"/>
        <v>2287371.4177000108</v>
      </c>
      <c r="G12" s="20">
        <f t="shared" si="3"/>
        <v>2378866.2744080112</v>
      </c>
      <c r="H12" s="20">
        <f t="shared" si="3"/>
        <v>2287371.4177000108</v>
      </c>
      <c r="I12" s="20">
        <f t="shared" si="3"/>
        <v>2477985.7025083448</v>
      </c>
      <c r="J12" s="20">
        <f t="shared" si="3"/>
        <v>2287371.4177000108</v>
      </c>
      <c r="K12" s="20">
        <f t="shared" si="3"/>
        <v>2287371.4177000108</v>
      </c>
      <c r="L12" s="20">
        <f t="shared" si="3"/>
        <v>2477985.7025083448</v>
      </c>
      <c r="M12" s="20">
        <f t="shared" si="3"/>
        <v>2378866.2744080112</v>
      </c>
      <c r="N12" s="20">
        <f t="shared" si="3"/>
        <v>2477985.7025083448</v>
      </c>
      <c r="O12" s="20">
        <f t="shared" si="3"/>
        <v>28584518.149857797</v>
      </c>
    </row>
    <row r="14" spans="2:15" x14ac:dyDescent="0.3">
      <c r="B14" s="18" t="s">
        <v>202</v>
      </c>
      <c r="C14" s="20">
        <f>C9-C12</f>
        <v>5799593.0707852468</v>
      </c>
      <c r="D14" s="20">
        <f t="shared" ref="D14:O14" si="4">D9-D12</f>
        <v>5334994.5822909549</v>
      </c>
      <c r="E14" s="20">
        <f t="shared" si="4"/>
        <v>5799593.0707852468</v>
      </c>
      <c r="F14" s="20">
        <f t="shared" si="4"/>
        <v>5318499.4845052399</v>
      </c>
      <c r="G14" s="20">
        <f t="shared" si="4"/>
        <v>5545125.571048351</v>
      </c>
      <c r="H14" s="20">
        <f t="shared" si="4"/>
        <v>5318499.4845052399</v>
      </c>
      <c r="I14" s="20">
        <f t="shared" si="4"/>
        <v>5799593.0707852468</v>
      </c>
      <c r="J14" s="20">
        <f t="shared" si="4"/>
        <v>5310232.4943681434</v>
      </c>
      <c r="K14" s="20">
        <f t="shared" si="4"/>
        <v>5318499.4845052399</v>
      </c>
      <c r="L14" s="20">
        <f t="shared" si="4"/>
        <v>5799593.0707852468</v>
      </c>
      <c r="M14" s="20">
        <f t="shared" si="4"/>
        <v>5553392.5611854475</v>
      </c>
      <c r="N14" s="20">
        <f t="shared" si="4"/>
        <v>5799593.0707852468</v>
      </c>
      <c r="O14" s="20">
        <f t="shared" si="4"/>
        <v>66697209.016334824</v>
      </c>
    </row>
    <row r="15" spans="2:15" x14ac:dyDescent="0.3">
      <c r="C15" s="29">
        <f>C14/C3</f>
        <v>0.20060970367693404</v>
      </c>
      <c r="D15" s="29">
        <f t="shared" ref="D15:O15" si="5">D14/D3</f>
        <v>0.19991735770243255</v>
      </c>
      <c r="E15" s="29">
        <f t="shared" si="5"/>
        <v>0.20060970367693404</v>
      </c>
      <c r="F15" s="29">
        <f t="shared" si="5"/>
        <v>0.1992992396681032</v>
      </c>
      <c r="G15" s="29">
        <f t="shared" si="5"/>
        <v>0.19979957790469297</v>
      </c>
      <c r="H15" s="29">
        <f t="shared" si="5"/>
        <v>0.1992992396681032</v>
      </c>
      <c r="I15" s="29">
        <f t="shared" si="5"/>
        <v>0.20060970367693404</v>
      </c>
      <c r="J15" s="29">
        <f t="shared" si="5"/>
        <v>0.198989452132452</v>
      </c>
      <c r="K15" s="29">
        <f t="shared" si="5"/>
        <v>0.1992992396681032</v>
      </c>
      <c r="L15" s="29">
        <f t="shared" si="5"/>
        <v>0.20060970367693404</v>
      </c>
      <c r="M15" s="29">
        <f t="shared" si="5"/>
        <v>0.20009745053512681</v>
      </c>
      <c r="N15" s="29">
        <f t="shared" si="5"/>
        <v>0.20060970367693404</v>
      </c>
      <c r="O15" s="29">
        <f t="shared" si="5"/>
        <v>0.1999999999999999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690AC-BC9E-4706-8DC3-B0D1F49DE54A}">
  <dimension ref="B2:P91"/>
  <sheetViews>
    <sheetView topLeftCell="A79" workbookViewId="0">
      <selection activeCell="J70" sqref="J70"/>
    </sheetView>
  </sheetViews>
  <sheetFormatPr baseColWidth="10" defaultRowHeight="14.5" x14ac:dyDescent="0.35"/>
  <cols>
    <col min="3" max="3" width="15.7265625" customWidth="1"/>
    <col min="4" max="4" width="18.08984375" bestFit="1" customWidth="1"/>
    <col min="5" max="5" width="4" bestFit="1" customWidth="1"/>
    <col min="6" max="6" width="11.08984375" bestFit="1" customWidth="1"/>
    <col min="8" max="8" width="13.54296875" bestFit="1" customWidth="1"/>
    <col min="9" max="9" width="12.54296875" bestFit="1" customWidth="1"/>
    <col min="10" max="10" width="11.90625" customWidth="1"/>
    <col min="11" max="11" width="1.81640625" customWidth="1"/>
    <col min="12" max="12" width="12.36328125" bestFit="1" customWidth="1"/>
    <col min="16" max="16" width="12.36328125" bestFit="1" customWidth="1"/>
  </cols>
  <sheetData>
    <row r="2" spans="2:16" x14ac:dyDescent="0.35">
      <c r="B2" s="27" t="s">
        <v>193</v>
      </c>
      <c r="C2" s="28"/>
      <c r="D2" s="28"/>
      <c r="F2" s="18"/>
      <c r="G2" s="18"/>
    </row>
    <row r="3" spans="2:16" x14ac:dyDescent="0.35">
      <c r="B3" s="18" t="s">
        <v>172</v>
      </c>
      <c r="C3" s="18" t="s">
        <v>171</v>
      </c>
      <c r="D3" s="18" t="s">
        <v>103</v>
      </c>
      <c r="E3" s="18"/>
      <c r="F3" s="23" t="s">
        <v>177</v>
      </c>
      <c r="G3" s="23" t="s">
        <v>98</v>
      </c>
      <c r="H3" s="23" t="s">
        <v>181</v>
      </c>
      <c r="I3" s="23" t="s">
        <v>182</v>
      </c>
      <c r="J3" s="23" t="s">
        <v>17</v>
      </c>
      <c r="L3" s="23" t="s">
        <v>177</v>
      </c>
      <c r="M3" s="23" t="s">
        <v>98</v>
      </c>
      <c r="N3" s="23" t="s">
        <v>181</v>
      </c>
      <c r="O3" s="23" t="s">
        <v>182</v>
      </c>
      <c r="P3" s="23" t="s">
        <v>17</v>
      </c>
    </row>
    <row r="4" spans="2:16" x14ac:dyDescent="0.35">
      <c r="B4" s="18">
        <v>9001</v>
      </c>
      <c r="C4" s="18" t="s">
        <v>0</v>
      </c>
      <c r="D4" s="48">
        <v>35000</v>
      </c>
      <c r="E4" s="21"/>
      <c r="F4" s="20">
        <f>'VALUACION PROD (Calculo)'!S7</f>
        <v>280.55</v>
      </c>
      <c r="G4" s="20">
        <f>'VALUACION PROD (Calculo)'!T7</f>
        <v>3.6521564613502191</v>
      </c>
      <c r="H4" s="20">
        <f>'VALUACION PROD (Calculo)'!U7</f>
        <v>1.2346450281478569</v>
      </c>
      <c r="I4" s="20">
        <f>'VALUACION PROD (Calculo)'!V7</f>
        <v>2.7411044872941135</v>
      </c>
      <c r="J4" s="20">
        <f>SUM(F4:I4)</f>
        <v>288.1779059767922</v>
      </c>
      <c r="L4" s="20">
        <f>$D$4*F4</f>
        <v>9819250</v>
      </c>
      <c r="M4" s="20">
        <f t="shared" ref="M4:P4" si="0">$D$4*G4</f>
        <v>127825.47614725766</v>
      </c>
      <c r="N4" s="20">
        <f t="shared" si="0"/>
        <v>43212.57598517499</v>
      </c>
      <c r="O4" s="20">
        <f t="shared" si="0"/>
        <v>95938.657055293967</v>
      </c>
      <c r="P4" s="20">
        <f t="shared" si="0"/>
        <v>10086226.709187727</v>
      </c>
    </row>
    <row r="5" spans="2:16" x14ac:dyDescent="0.35">
      <c r="B5" s="18">
        <v>9002</v>
      </c>
      <c r="C5" s="18" t="s">
        <v>166</v>
      </c>
      <c r="D5" s="48">
        <v>10000</v>
      </c>
      <c r="E5" s="21"/>
      <c r="F5" s="20">
        <f>'VALUACION PROD (Calculo)'!S8</f>
        <v>239.66200000000003</v>
      </c>
      <c r="G5" s="20">
        <f>'VALUACION PROD (Calculo)'!T8</f>
        <v>4.017372107485242</v>
      </c>
      <c r="H5" s="20">
        <f>'VALUACION PROD (Calculo)'!U8</f>
        <v>1.3581095309626425</v>
      </c>
      <c r="I5" s="20">
        <f>'VALUACION PROD (Calculo)'!V8</f>
        <v>3.0152149360235247</v>
      </c>
      <c r="J5" s="20">
        <f t="shared" ref="J5:J6" si="1">SUM(F5:I5)</f>
        <v>248.05269657447144</v>
      </c>
      <c r="L5" s="20">
        <f>$D$5*F5</f>
        <v>2396620.0000000005</v>
      </c>
      <c r="M5" s="20">
        <f t="shared" ref="M5:P5" si="2">$D$5*G5</f>
        <v>40173.721074852423</v>
      </c>
      <c r="N5" s="20">
        <f t="shared" si="2"/>
        <v>13581.095309626426</v>
      </c>
      <c r="O5" s="20">
        <f t="shared" si="2"/>
        <v>30152.149360235246</v>
      </c>
      <c r="P5" s="20">
        <f t="shared" si="2"/>
        <v>2480526.9657447143</v>
      </c>
    </row>
    <row r="6" spans="2:16" x14ac:dyDescent="0.35">
      <c r="B6" s="18">
        <v>9003</v>
      </c>
      <c r="C6" s="18" t="s">
        <v>167</v>
      </c>
      <c r="D6" s="48">
        <v>25000</v>
      </c>
      <c r="E6" s="21"/>
      <c r="F6" s="20">
        <f>'VALUACION PROD (Calculo)'!S9</f>
        <v>293.32749999999999</v>
      </c>
      <c r="G6" s="20">
        <f>'VALUACION PROD (Calculo)'!T9</f>
        <v>3.2869408152151971</v>
      </c>
      <c r="H6" s="20">
        <f>'VALUACION PROD (Calculo)'!U9</f>
        <v>1.1111805253330713</v>
      </c>
      <c r="I6" s="20">
        <f>'VALUACION PROD (Calculo)'!V9</f>
        <v>2.4669940385647018</v>
      </c>
      <c r="J6" s="20">
        <f t="shared" si="1"/>
        <v>300.19261537911291</v>
      </c>
      <c r="L6" s="20">
        <f>$D$6*F6</f>
        <v>7333187.5</v>
      </c>
      <c r="M6" s="20">
        <f t="shared" ref="M6:P6" si="3">$D$6*G6</f>
        <v>82173.520380379923</v>
      </c>
      <c r="N6" s="20">
        <f t="shared" si="3"/>
        <v>27779.513133326782</v>
      </c>
      <c r="O6" s="20">
        <f t="shared" si="3"/>
        <v>61674.850964117548</v>
      </c>
      <c r="P6" s="20">
        <f t="shared" si="3"/>
        <v>7504815.384477823</v>
      </c>
    </row>
    <row r="7" spans="2:16" ht="15" thickBot="1" x14ac:dyDescent="0.4">
      <c r="B7" s="33"/>
      <c r="C7" s="33"/>
      <c r="D7" s="31">
        <f>SUM(D4:D6)</f>
        <v>70000</v>
      </c>
      <c r="E7" s="21"/>
      <c r="F7" s="21"/>
      <c r="G7" s="21"/>
      <c r="L7" s="20">
        <f>SUM(L4:L6)</f>
        <v>19549057.5</v>
      </c>
      <c r="M7" s="20">
        <f t="shared" ref="M7:P7" si="4">SUM(M4:M6)</f>
        <v>250172.71760249001</v>
      </c>
      <c r="N7" s="20">
        <f t="shared" si="4"/>
        <v>84573.184428128196</v>
      </c>
      <c r="O7" s="20">
        <f t="shared" si="4"/>
        <v>187765.65737964676</v>
      </c>
      <c r="P7" s="20">
        <f t="shared" si="4"/>
        <v>20071569.059410267</v>
      </c>
    </row>
    <row r="8" spans="2:16" ht="15" thickTop="1" x14ac:dyDescent="0.35">
      <c r="C8" s="18" t="s">
        <v>211</v>
      </c>
      <c r="D8" s="20">
        <f>'VALUACION PROD (Calculo)'!E10</f>
        <v>75000</v>
      </c>
      <c r="L8" s="20"/>
      <c r="M8" s="20"/>
      <c r="N8" s="20"/>
      <c r="O8" s="20"/>
      <c r="P8" s="20"/>
    </row>
    <row r="9" spans="2:16" x14ac:dyDescent="0.35">
      <c r="L9" s="20"/>
      <c r="M9" s="20"/>
      <c r="N9" s="20"/>
      <c r="O9" s="20"/>
      <c r="P9" s="20"/>
    </row>
    <row r="10" spans="2:16" x14ac:dyDescent="0.35">
      <c r="B10" t="s">
        <v>204</v>
      </c>
      <c r="L10" s="20"/>
      <c r="M10" s="20"/>
      <c r="N10" s="20"/>
      <c r="O10" s="20"/>
      <c r="P10" s="20"/>
    </row>
    <row r="11" spans="2:16" x14ac:dyDescent="0.35">
      <c r="B11" s="27" t="s">
        <v>192</v>
      </c>
      <c r="C11" s="28"/>
      <c r="D11" s="18"/>
      <c r="E11" s="18"/>
      <c r="F11" s="18"/>
      <c r="L11" s="20"/>
      <c r="M11" s="20"/>
      <c r="N11" s="20"/>
      <c r="O11" s="20"/>
      <c r="P11" s="20"/>
    </row>
    <row r="12" spans="2:16" x14ac:dyDescent="0.35">
      <c r="B12" s="18">
        <v>9001</v>
      </c>
      <c r="C12" s="18" t="s">
        <v>0</v>
      </c>
      <c r="D12" s="18"/>
      <c r="E12" s="18"/>
      <c r="F12" s="23"/>
      <c r="L12" s="20"/>
      <c r="M12" s="20"/>
      <c r="N12" s="20"/>
      <c r="O12" s="20"/>
      <c r="P12" s="20"/>
    </row>
    <row r="13" spans="2:16" x14ac:dyDescent="0.35">
      <c r="B13" s="18"/>
      <c r="C13" s="18">
        <v>1001</v>
      </c>
      <c r="D13" s="18" t="s">
        <v>1</v>
      </c>
      <c r="E13" s="18" t="s">
        <v>18</v>
      </c>
      <c r="F13" s="21">
        <f>$D$4*INGENIERIA!F4</f>
        <v>35000</v>
      </c>
      <c r="G13" s="21">
        <f>VLOOKUP(C13,COMPRAS!B:F,4,0)</f>
        <v>100</v>
      </c>
      <c r="H13" s="21">
        <f>F13*G13</f>
        <v>3500000</v>
      </c>
      <c r="I13" s="21"/>
    </row>
    <row r="14" spans="2:16" x14ac:dyDescent="0.35">
      <c r="B14" s="18"/>
      <c r="C14" s="18">
        <v>1002</v>
      </c>
      <c r="D14" s="18" t="s">
        <v>2</v>
      </c>
      <c r="E14" s="18" t="s">
        <v>18</v>
      </c>
      <c r="F14" s="21">
        <f>$D$4*INGENIERIA!F5</f>
        <v>17500</v>
      </c>
      <c r="G14" s="21">
        <f>VLOOKUP(C14,COMPRAS!B:F,4,0)</f>
        <v>55</v>
      </c>
      <c r="H14" s="21">
        <f t="shared" ref="H14:H22" si="5">F14*G14</f>
        <v>962500</v>
      </c>
      <c r="I14" s="21"/>
    </row>
    <row r="15" spans="2:16" x14ac:dyDescent="0.35">
      <c r="B15" s="18"/>
      <c r="C15" s="18">
        <v>1003</v>
      </c>
      <c r="D15" s="18" t="s">
        <v>3</v>
      </c>
      <c r="E15" s="18" t="s">
        <v>18</v>
      </c>
      <c r="F15" s="21">
        <f>$D$4*INGENIERIA!F6</f>
        <v>11200</v>
      </c>
      <c r="G15" s="21">
        <f>VLOOKUP(C15,COMPRAS!B:F,4,0)</f>
        <v>20</v>
      </c>
      <c r="H15" s="21">
        <f t="shared" si="5"/>
        <v>224000</v>
      </c>
      <c r="I15" s="21"/>
    </row>
    <row r="16" spans="2:16" x14ac:dyDescent="0.35">
      <c r="B16" s="18"/>
      <c r="C16" s="18">
        <v>1004</v>
      </c>
      <c r="D16" s="18" t="s">
        <v>4</v>
      </c>
      <c r="E16" s="18" t="s">
        <v>18</v>
      </c>
      <c r="F16" s="21">
        <f>$D$4*INGENIERIA!F7</f>
        <v>70000</v>
      </c>
      <c r="G16" s="21">
        <f>VLOOKUP(C16,COMPRAS!B:F,4,0)</f>
        <v>34</v>
      </c>
      <c r="H16" s="21">
        <f t="shared" si="5"/>
        <v>2380000</v>
      </c>
      <c r="I16" s="21"/>
    </row>
    <row r="17" spans="2:9" x14ac:dyDescent="0.35">
      <c r="B17" s="18"/>
      <c r="C17" s="18">
        <v>1005</v>
      </c>
      <c r="D17" s="18" t="s">
        <v>5</v>
      </c>
      <c r="E17" s="18" t="s">
        <v>18</v>
      </c>
      <c r="F17" s="21">
        <f>$D$4*INGENIERIA!F8</f>
        <v>23450</v>
      </c>
      <c r="G17" s="21">
        <f>VLOOKUP(C17,COMPRAS!B:F,4,0)</f>
        <v>15</v>
      </c>
      <c r="H17" s="21">
        <f t="shared" si="5"/>
        <v>351750</v>
      </c>
      <c r="I17" s="21"/>
    </row>
    <row r="18" spans="2:9" x14ac:dyDescent="0.35">
      <c r="B18" s="18"/>
      <c r="C18" s="18">
        <v>1006</v>
      </c>
      <c r="D18" s="18" t="s">
        <v>6</v>
      </c>
      <c r="E18" s="18" t="s">
        <v>18</v>
      </c>
      <c r="F18" s="21">
        <f>$D$4*INGENIERIA!F9</f>
        <v>7000</v>
      </c>
      <c r="G18" s="21">
        <f>VLOOKUP(C18,COMPRAS!B:F,4,0)</f>
        <v>67</v>
      </c>
      <c r="H18" s="21">
        <f t="shared" si="5"/>
        <v>469000</v>
      </c>
      <c r="I18" s="21"/>
    </row>
    <row r="19" spans="2:9" x14ac:dyDescent="0.35">
      <c r="B19" s="18"/>
      <c r="C19" s="18">
        <v>1007</v>
      </c>
      <c r="D19" s="18" t="s">
        <v>7</v>
      </c>
      <c r="E19" s="18" t="s">
        <v>18</v>
      </c>
      <c r="F19" s="21">
        <f>$D$4*INGENIERIA!F10</f>
        <v>3500</v>
      </c>
      <c r="G19" s="21">
        <f>VLOOKUP(C19,COMPRAS!B:F,4,0)</f>
        <v>22</v>
      </c>
      <c r="H19" s="21">
        <f t="shared" si="5"/>
        <v>77000</v>
      </c>
      <c r="I19" s="21"/>
    </row>
    <row r="20" spans="2:9" x14ac:dyDescent="0.35">
      <c r="B20" s="18"/>
      <c r="C20" s="18">
        <v>1008</v>
      </c>
      <c r="D20" s="18" t="s">
        <v>8</v>
      </c>
      <c r="E20" s="18" t="s">
        <v>18</v>
      </c>
      <c r="F20" s="21">
        <f>$D$4*INGENIERIA!F11</f>
        <v>28000</v>
      </c>
      <c r="G20" s="21">
        <f>VLOOKUP(C20,COMPRAS!B:F,4,0)</f>
        <v>35</v>
      </c>
      <c r="H20" s="21">
        <f t="shared" si="5"/>
        <v>980000</v>
      </c>
      <c r="I20" s="21"/>
    </row>
    <row r="21" spans="2:9" x14ac:dyDescent="0.35">
      <c r="B21" s="18"/>
      <c r="C21" s="18">
        <v>1009</v>
      </c>
      <c r="D21" s="18" t="s">
        <v>9</v>
      </c>
      <c r="E21" s="18" t="s">
        <v>19</v>
      </c>
      <c r="F21" s="21">
        <f>$D$4*INGENIERIA!F12</f>
        <v>35000</v>
      </c>
      <c r="G21" s="21">
        <f>VLOOKUP(C21,COMPRAS!B:F,4,0)</f>
        <v>15</v>
      </c>
      <c r="H21" s="21">
        <f t="shared" si="5"/>
        <v>525000</v>
      </c>
      <c r="I21" s="21"/>
    </row>
    <row r="22" spans="2:9" x14ac:dyDescent="0.35">
      <c r="B22" s="18"/>
      <c r="C22" s="18">
        <v>1010</v>
      </c>
      <c r="D22" s="18" t="s">
        <v>10</v>
      </c>
      <c r="E22" s="18" t="s">
        <v>19</v>
      </c>
      <c r="F22" s="21">
        <f>$D$4*INGENIERIA!F13</f>
        <v>35000</v>
      </c>
      <c r="G22" s="21">
        <f>VLOOKUP(C22,COMPRAS!B:F,4,0)</f>
        <v>10</v>
      </c>
      <c r="H22" s="21">
        <f t="shared" si="5"/>
        <v>350000</v>
      </c>
      <c r="I22" s="21"/>
    </row>
    <row r="23" spans="2:9" x14ac:dyDescent="0.35">
      <c r="B23" s="18"/>
      <c r="C23" s="25" t="s">
        <v>20</v>
      </c>
      <c r="D23" s="18" t="s">
        <v>23</v>
      </c>
      <c r="E23" s="18" t="s">
        <v>26</v>
      </c>
      <c r="F23" s="21">
        <f>$D$4*INGENIERIA!F14</f>
        <v>175000</v>
      </c>
      <c r="H23" s="21"/>
      <c r="I23" s="21"/>
    </row>
    <row r="24" spans="2:9" x14ac:dyDescent="0.35">
      <c r="B24" s="18"/>
      <c r="C24" s="25" t="s">
        <v>21</v>
      </c>
      <c r="D24" s="18" t="s">
        <v>24</v>
      </c>
      <c r="E24" s="18" t="s">
        <v>26</v>
      </c>
      <c r="F24" s="21">
        <f>$D$4*INGENIERIA!F15</f>
        <v>245000</v>
      </c>
      <c r="H24" s="21"/>
      <c r="I24" s="21"/>
    </row>
    <row r="25" spans="2:9" x14ac:dyDescent="0.35">
      <c r="B25" s="18"/>
      <c r="C25" s="25" t="s">
        <v>22</v>
      </c>
      <c r="D25" s="18" t="s">
        <v>25</v>
      </c>
      <c r="E25" s="18" t="s">
        <v>26</v>
      </c>
      <c r="F25" s="21">
        <f>$D$4*INGENIERIA!F16</f>
        <v>140000</v>
      </c>
      <c r="H25" s="21"/>
      <c r="I25" s="21"/>
    </row>
    <row r="26" spans="2:9" x14ac:dyDescent="0.35">
      <c r="B26" s="18"/>
      <c r="C26" s="18"/>
      <c r="D26" s="18"/>
      <c r="E26" s="18"/>
      <c r="F26" s="18"/>
    </row>
    <row r="27" spans="2:9" x14ac:dyDescent="0.35">
      <c r="B27" s="18">
        <v>9002</v>
      </c>
      <c r="C27" s="18" t="s">
        <v>166</v>
      </c>
      <c r="D27" s="18"/>
      <c r="E27" s="18"/>
      <c r="F27" s="23"/>
    </row>
    <row r="28" spans="2:9" x14ac:dyDescent="0.35">
      <c r="B28" s="18"/>
      <c r="C28" s="18">
        <v>1001</v>
      </c>
      <c r="D28" s="18" t="s">
        <v>1</v>
      </c>
      <c r="E28" s="18" t="s">
        <v>18</v>
      </c>
      <c r="F28" s="21">
        <f>$D$5*INGENIERIA!F19</f>
        <v>8400</v>
      </c>
      <c r="G28" s="21">
        <f>VLOOKUP(C28,COMPRAS!B:F,4,0)</f>
        <v>100</v>
      </c>
      <c r="H28" s="21">
        <f>F28*G28</f>
        <v>840000</v>
      </c>
    </row>
    <row r="29" spans="2:9" x14ac:dyDescent="0.35">
      <c r="B29" s="18"/>
      <c r="C29" s="18">
        <v>1002</v>
      </c>
      <c r="D29" s="18" t="s">
        <v>2</v>
      </c>
      <c r="E29" s="18" t="s">
        <v>18</v>
      </c>
      <c r="F29" s="21">
        <f>$D$5*INGENIERIA!F20</f>
        <v>4200</v>
      </c>
      <c r="G29" s="21">
        <f>VLOOKUP(C29,COMPRAS!B:F,4,0)</f>
        <v>55</v>
      </c>
      <c r="H29" s="21">
        <f t="shared" ref="H29:H37" si="6">F29*G29</f>
        <v>231000</v>
      </c>
    </row>
    <row r="30" spans="2:9" x14ac:dyDescent="0.35">
      <c r="B30" s="18"/>
      <c r="C30" s="18">
        <v>1003</v>
      </c>
      <c r="D30" s="18" t="s">
        <v>3</v>
      </c>
      <c r="E30" s="18" t="s">
        <v>18</v>
      </c>
      <c r="F30" s="21">
        <f>$D$5*INGENIERIA!F21</f>
        <v>2688</v>
      </c>
      <c r="G30" s="21">
        <f>VLOOKUP(C30,COMPRAS!B:F,4,0)</f>
        <v>20</v>
      </c>
      <c r="H30" s="21">
        <f t="shared" si="6"/>
        <v>53760</v>
      </c>
    </row>
    <row r="31" spans="2:9" x14ac:dyDescent="0.35">
      <c r="B31" s="18"/>
      <c r="C31" s="18">
        <v>1004</v>
      </c>
      <c r="D31" s="18" t="s">
        <v>4</v>
      </c>
      <c r="E31" s="18" t="s">
        <v>18</v>
      </c>
      <c r="F31" s="21">
        <f>$D$5*INGENIERIA!F22</f>
        <v>16800</v>
      </c>
      <c r="G31" s="21">
        <f>VLOOKUP(C31,COMPRAS!B:F,4,0)</f>
        <v>34</v>
      </c>
      <c r="H31" s="21">
        <f t="shared" si="6"/>
        <v>571200</v>
      </c>
    </row>
    <row r="32" spans="2:9" x14ac:dyDescent="0.35">
      <c r="B32" s="18"/>
      <c r="C32" s="18">
        <v>1005</v>
      </c>
      <c r="D32" s="18" t="s">
        <v>5</v>
      </c>
      <c r="E32" s="18" t="s">
        <v>18</v>
      </c>
      <c r="F32" s="21">
        <f>$D$5*INGENIERIA!F23</f>
        <v>5628</v>
      </c>
      <c r="G32" s="21">
        <f>VLOOKUP(C32,COMPRAS!B:F,4,0)</f>
        <v>15</v>
      </c>
      <c r="H32" s="21">
        <f t="shared" si="6"/>
        <v>84420</v>
      </c>
    </row>
    <row r="33" spans="2:8" x14ac:dyDescent="0.35">
      <c r="B33" s="18"/>
      <c r="C33" s="18">
        <v>1006</v>
      </c>
      <c r="D33" s="18" t="s">
        <v>6</v>
      </c>
      <c r="E33" s="18" t="s">
        <v>18</v>
      </c>
      <c r="F33" s="21">
        <f>$D$5*INGENIERIA!F24</f>
        <v>1680</v>
      </c>
      <c r="G33" s="21">
        <f>VLOOKUP(C33,COMPRAS!B:F,4,0)</f>
        <v>67</v>
      </c>
      <c r="H33" s="21">
        <f t="shared" si="6"/>
        <v>112560</v>
      </c>
    </row>
    <row r="34" spans="2:8" x14ac:dyDescent="0.35">
      <c r="B34" s="18"/>
      <c r="C34" s="18">
        <v>1007</v>
      </c>
      <c r="D34" s="18" t="s">
        <v>7</v>
      </c>
      <c r="E34" s="18" t="s">
        <v>18</v>
      </c>
      <c r="F34" s="21">
        <f>$D$5*INGENIERIA!F25</f>
        <v>840</v>
      </c>
      <c r="G34" s="21">
        <f>VLOOKUP(C34,COMPRAS!B:F,4,0)</f>
        <v>22</v>
      </c>
      <c r="H34" s="21">
        <f t="shared" si="6"/>
        <v>18480</v>
      </c>
    </row>
    <row r="35" spans="2:8" x14ac:dyDescent="0.35">
      <c r="B35" s="18"/>
      <c r="C35" s="18">
        <v>1008</v>
      </c>
      <c r="D35" s="18" t="s">
        <v>8</v>
      </c>
      <c r="E35" s="18" t="s">
        <v>18</v>
      </c>
      <c r="F35" s="21">
        <f>$D$5*INGENIERIA!F26</f>
        <v>6720</v>
      </c>
      <c r="G35" s="21">
        <f>VLOOKUP(C35,COMPRAS!B:F,4,0)</f>
        <v>35</v>
      </c>
      <c r="H35" s="21">
        <f t="shared" si="6"/>
        <v>235200</v>
      </c>
    </row>
    <row r="36" spans="2:8" x14ac:dyDescent="0.35">
      <c r="B36" s="18"/>
      <c r="C36" s="18">
        <v>1009</v>
      </c>
      <c r="D36" s="18" t="s">
        <v>9</v>
      </c>
      <c r="E36" s="18" t="s">
        <v>19</v>
      </c>
      <c r="F36" s="21">
        <f>$D$5*INGENIERIA!F27</f>
        <v>10000</v>
      </c>
      <c r="G36" s="21">
        <f>VLOOKUP(C36,COMPRAS!B:F,4,0)</f>
        <v>15</v>
      </c>
      <c r="H36" s="21">
        <f t="shared" si="6"/>
        <v>150000</v>
      </c>
    </row>
    <row r="37" spans="2:8" x14ac:dyDescent="0.35">
      <c r="B37" s="18"/>
      <c r="C37" s="18">
        <v>1010</v>
      </c>
      <c r="D37" s="18" t="s">
        <v>10</v>
      </c>
      <c r="E37" s="18" t="s">
        <v>19</v>
      </c>
      <c r="F37" s="21">
        <f>$D$5*INGENIERIA!F28</f>
        <v>10000</v>
      </c>
      <c r="G37" s="21">
        <f>VLOOKUP(C37,COMPRAS!B:F,4,0)</f>
        <v>10</v>
      </c>
      <c r="H37" s="21">
        <f t="shared" si="6"/>
        <v>100000</v>
      </c>
    </row>
    <row r="38" spans="2:8" x14ac:dyDescent="0.35">
      <c r="B38" s="18"/>
      <c r="C38" s="25" t="s">
        <v>20</v>
      </c>
      <c r="D38" s="18" t="s">
        <v>23</v>
      </c>
      <c r="E38" s="18" t="s">
        <v>26</v>
      </c>
      <c r="F38" s="21">
        <f>$D$5*INGENIERIA!F29</f>
        <v>55000</v>
      </c>
    </row>
    <row r="39" spans="2:8" x14ac:dyDescent="0.35">
      <c r="B39" s="18"/>
      <c r="C39" s="25" t="s">
        <v>21</v>
      </c>
      <c r="D39" s="18" t="s">
        <v>24</v>
      </c>
      <c r="E39" s="18" t="s">
        <v>26</v>
      </c>
      <c r="F39" s="21">
        <f>$D$5*INGENIERIA!F30</f>
        <v>77000.000000000015</v>
      </c>
    </row>
    <row r="40" spans="2:8" x14ac:dyDescent="0.35">
      <c r="B40" s="18"/>
      <c r="C40" s="25" t="s">
        <v>22</v>
      </c>
      <c r="D40" s="18" t="s">
        <v>25</v>
      </c>
      <c r="E40" s="18" t="s">
        <v>26</v>
      </c>
      <c r="F40" s="21">
        <f>$D$5*INGENIERIA!F31</f>
        <v>44000</v>
      </c>
    </row>
    <row r="41" spans="2:8" x14ac:dyDescent="0.35">
      <c r="B41" s="18"/>
      <c r="C41" s="18"/>
      <c r="D41" s="18"/>
      <c r="E41" s="18"/>
      <c r="F41" s="18"/>
    </row>
    <row r="42" spans="2:8" x14ac:dyDescent="0.35">
      <c r="B42" s="18">
        <v>9003</v>
      </c>
      <c r="C42" s="18" t="s">
        <v>167</v>
      </c>
      <c r="D42" s="18"/>
      <c r="E42" s="18"/>
      <c r="F42" s="23"/>
    </row>
    <row r="43" spans="2:8" x14ac:dyDescent="0.35">
      <c r="B43" s="18"/>
      <c r="C43" s="18">
        <v>1001</v>
      </c>
      <c r="D43" s="18" t="s">
        <v>1</v>
      </c>
      <c r="E43" s="18" t="s">
        <v>18</v>
      </c>
      <c r="F43" s="21">
        <f>$D$6*INGENIERIA!F34</f>
        <v>26250</v>
      </c>
      <c r="G43" s="21">
        <f>VLOOKUP(C43,COMPRAS!B:F,4,0)</f>
        <v>100</v>
      </c>
      <c r="H43" s="21">
        <f t="shared" ref="H43:H52" si="7">F43*G43</f>
        <v>2625000</v>
      </c>
    </row>
    <row r="44" spans="2:8" x14ac:dyDescent="0.35">
      <c r="B44" s="18"/>
      <c r="C44" s="18">
        <v>1002</v>
      </c>
      <c r="D44" s="18" t="s">
        <v>2</v>
      </c>
      <c r="E44" s="18" t="s">
        <v>18</v>
      </c>
      <c r="F44" s="21">
        <f>$D$6*INGENIERIA!F35</f>
        <v>13125</v>
      </c>
      <c r="G44" s="21">
        <f>VLOOKUP(C44,COMPRAS!B:F,4,0)</f>
        <v>55</v>
      </c>
      <c r="H44" s="21">
        <f t="shared" si="7"/>
        <v>721875</v>
      </c>
    </row>
    <row r="45" spans="2:8" x14ac:dyDescent="0.35">
      <c r="B45" s="18"/>
      <c r="C45" s="18">
        <v>1003</v>
      </c>
      <c r="D45" s="18" t="s">
        <v>3</v>
      </c>
      <c r="E45" s="18" t="s">
        <v>18</v>
      </c>
      <c r="F45" s="21">
        <f>$D$6*INGENIERIA!F36</f>
        <v>8400</v>
      </c>
      <c r="G45" s="21">
        <f>VLOOKUP(C45,COMPRAS!B:F,4,0)</f>
        <v>20</v>
      </c>
      <c r="H45" s="21">
        <f t="shared" si="7"/>
        <v>168000</v>
      </c>
    </row>
    <row r="46" spans="2:8" x14ac:dyDescent="0.35">
      <c r="B46" s="18"/>
      <c r="C46" s="18">
        <v>1004</v>
      </c>
      <c r="D46" s="18" t="s">
        <v>4</v>
      </c>
      <c r="E46" s="18" t="s">
        <v>18</v>
      </c>
      <c r="F46" s="21">
        <f>$D$6*INGENIERIA!F37</f>
        <v>52500</v>
      </c>
      <c r="G46" s="21">
        <f>VLOOKUP(C46,COMPRAS!B:F,4,0)</f>
        <v>34</v>
      </c>
      <c r="H46" s="21">
        <f t="shared" si="7"/>
        <v>1785000</v>
      </c>
    </row>
    <row r="47" spans="2:8" x14ac:dyDescent="0.35">
      <c r="B47" s="18"/>
      <c r="C47" s="18">
        <v>1005</v>
      </c>
      <c r="D47" s="18" t="s">
        <v>5</v>
      </c>
      <c r="E47" s="18" t="s">
        <v>18</v>
      </c>
      <c r="F47" s="21">
        <f>$D$6*INGENIERIA!F38</f>
        <v>17587.500000000004</v>
      </c>
      <c r="G47" s="21">
        <f>VLOOKUP(C47,COMPRAS!B:F,4,0)</f>
        <v>15</v>
      </c>
      <c r="H47" s="21">
        <f t="shared" si="7"/>
        <v>263812.50000000006</v>
      </c>
    </row>
    <row r="48" spans="2:8" x14ac:dyDescent="0.35">
      <c r="B48" s="18"/>
      <c r="C48" s="18">
        <v>1006</v>
      </c>
      <c r="D48" s="18" t="s">
        <v>6</v>
      </c>
      <c r="E48" s="18" t="s">
        <v>18</v>
      </c>
      <c r="F48" s="21">
        <f>$D$6*INGENIERIA!F39</f>
        <v>5250.0000000000009</v>
      </c>
      <c r="G48" s="21">
        <f>VLOOKUP(C48,COMPRAS!B:F,4,0)</f>
        <v>67</v>
      </c>
      <c r="H48" s="21">
        <f t="shared" si="7"/>
        <v>351750.00000000006</v>
      </c>
    </row>
    <row r="49" spans="2:10" x14ac:dyDescent="0.35">
      <c r="B49" s="18"/>
      <c r="C49" s="18">
        <v>1007</v>
      </c>
      <c r="D49" s="18" t="s">
        <v>7</v>
      </c>
      <c r="E49" s="18" t="s">
        <v>18</v>
      </c>
      <c r="F49" s="21">
        <f>$D$6*INGENIERIA!F40</f>
        <v>2625.0000000000005</v>
      </c>
      <c r="G49" s="21">
        <f>VLOOKUP(C49,COMPRAS!B:F,4,0)</f>
        <v>22</v>
      </c>
      <c r="H49" s="21">
        <f t="shared" si="7"/>
        <v>57750.000000000007</v>
      </c>
    </row>
    <row r="50" spans="2:10" x14ac:dyDescent="0.35">
      <c r="B50" s="18"/>
      <c r="C50" s="18">
        <v>1008</v>
      </c>
      <c r="D50" s="18" t="s">
        <v>8</v>
      </c>
      <c r="E50" s="18" t="s">
        <v>18</v>
      </c>
      <c r="F50" s="21">
        <f>$D$6*INGENIERIA!F41</f>
        <v>21000.000000000004</v>
      </c>
      <c r="G50" s="21">
        <f>VLOOKUP(C50,COMPRAS!B:F,4,0)</f>
        <v>35</v>
      </c>
      <c r="H50" s="21">
        <f t="shared" si="7"/>
        <v>735000.00000000012</v>
      </c>
    </row>
    <row r="51" spans="2:10" x14ac:dyDescent="0.35">
      <c r="B51" s="18"/>
      <c r="C51" s="18">
        <v>1009</v>
      </c>
      <c r="D51" s="18" t="s">
        <v>9</v>
      </c>
      <c r="E51" s="18" t="s">
        <v>19</v>
      </c>
      <c r="F51" s="21">
        <f>$D$6*INGENIERIA!F42</f>
        <v>25000</v>
      </c>
      <c r="G51" s="21">
        <f>VLOOKUP(C51,COMPRAS!B:F,4,0)</f>
        <v>15</v>
      </c>
      <c r="H51" s="21">
        <f t="shared" si="7"/>
        <v>375000</v>
      </c>
    </row>
    <row r="52" spans="2:10" x14ac:dyDescent="0.35">
      <c r="B52" s="18"/>
      <c r="C52" s="18">
        <v>1010</v>
      </c>
      <c r="D52" s="18" t="s">
        <v>10</v>
      </c>
      <c r="E52" s="18" t="s">
        <v>19</v>
      </c>
      <c r="F52" s="21">
        <f>$D$6*INGENIERIA!F43</f>
        <v>25000</v>
      </c>
      <c r="G52" s="21">
        <f>VLOOKUP(C52,COMPRAS!B:F,4,0)</f>
        <v>10</v>
      </c>
      <c r="H52" s="21">
        <f t="shared" si="7"/>
        <v>250000</v>
      </c>
    </row>
    <row r="53" spans="2:10" x14ac:dyDescent="0.35">
      <c r="B53" s="18"/>
      <c r="C53" s="25" t="s">
        <v>20</v>
      </c>
      <c r="D53" s="18" t="s">
        <v>23</v>
      </c>
      <c r="E53" s="18" t="s">
        <v>26</v>
      </c>
      <c r="F53" s="21">
        <f>$D$6*INGENIERIA!F44</f>
        <v>112500</v>
      </c>
    </row>
    <row r="54" spans="2:10" x14ac:dyDescent="0.35">
      <c r="B54" s="18"/>
      <c r="C54" s="25" t="s">
        <v>21</v>
      </c>
      <c r="D54" s="18" t="s">
        <v>24</v>
      </c>
      <c r="E54" s="18" t="s">
        <v>26</v>
      </c>
      <c r="F54" s="21">
        <f>$D$6*INGENIERIA!F45</f>
        <v>157500</v>
      </c>
    </row>
    <row r="55" spans="2:10" x14ac:dyDescent="0.35">
      <c r="B55" s="18"/>
      <c r="C55" s="25" t="s">
        <v>22</v>
      </c>
      <c r="D55" s="18" t="s">
        <v>25</v>
      </c>
      <c r="E55" s="18" t="s">
        <v>26</v>
      </c>
      <c r="F55" s="21">
        <f>$D$6*INGENIERIA!F46</f>
        <v>90000</v>
      </c>
    </row>
    <row r="57" spans="2:10" x14ac:dyDescent="0.35">
      <c r="D57" s="18" t="s">
        <v>205</v>
      </c>
      <c r="H57" s="30">
        <f>SUM(H13:H56)</f>
        <v>19549057.5</v>
      </c>
    </row>
    <row r="59" spans="2:10" x14ac:dyDescent="0.35">
      <c r="H59" s="32" t="s">
        <v>213</v>
      </c>
      <c r="I59" s="28" t="s">
        <v>215</v>
      </c>
      <c r="J59" s="28" t="s">
        <v>214</v>
      </c>
    </row>
    <row r="60" spans="2:10" x14ac:dyDescent="0.35">
      <c r="C60" s="18">
        <v>1001</v>
      </c>
      <c r="D60" s="18" t="s">
        <v>1</v>
      </c>
      <c r="E60" s="18" t="s">
        <v>18</v>
      </c>
      <c r="F60" s="20">
        <f>F13+F28+F43</f>
        <v>69650</v>
      </c>
      <c r="H60" s="20">
        <f>H13+H28+H43</f>
        <v>6965000</v>
      </c>
      <c r="I60" s="49">
        <f>H60*1.05</f>
        <v>7313250</v>
      </c>
      <c r="J60" s="20">
        <f>I60-H60</f>
        <v>348250</v>
      </c>
    </row>
    <row r="61" spans="2:10" x14ac:dyDescent="0.35">
      <c r="C61" s="18">
        <v>1002</v>
      </c>
      <c r="D61" s="18" t="s">
        <v>2</v>
      </c>
      <c r="E61" s="18" t="s">
        <v>18</v>
      </c>
      <c r="F61" s="20">
        <f t="shared" ref="F61:F69" si="8">F14+F29+F44</f>
        <v>34825</v>
      </c>
      <c r="H61" s="20">
        <f t="shared" ref="H61:H69" si="9">H14+H29+H44</f>
        <v>1915375</v>
      </c>
      <c r="I61" s="49">
        <f>H61*0.99</f>
        <v>1896221.25</v>
      </c>
      <c r="J61" s="20">
        <f t="shared" ref="J61:J69" si="10">I61-H61</f>
        <v>-19153.75</v>
      </c>
    </row>
    <row r="62" spans="2:10" x14ac:dyDescent="0.35">
      <c r="C62" s="18">
        <v>1003</v>
      </c>
      <c r="D62" s="18" t="s">
        <v>3</v>
      </c>
      <c r="E62" s="18" t="s">
        <v>18</v>
      </c>
      <c r="F62" s="20">
        <f t="shared" si="8"/>
        <v>22288</v>
      </c>
      <c r="H62" s="20">
        <f t="shared" si="9"/>
        <v>445760</v>
      </c>
      <c r="I62" s="49">
        <f>H62*0.86</f>
        <v>383353.59999999998</v>
      </c>
      <c r="J62" s="20">
        <f t="shared" si="10"/>
        <v>-62406.400000000023</v>
      </c>
    </row>
    <row r="63" spans="2:10" x14ac:dyDescent="0.35">
      <c r="C63" s="18">
        <v>1004</v>
      </c>
      <c r="D63" s="18" t="s">
        <v>4</v>
      </c>
      <c r="E63" s="18" t="s">
        <v>18</v>
      </c>
      <c r="F63" s="20">
        <f t="shared" si="8"/>
        <v>139300</v>
      </c>
      <c r="H63" s="20">
        <f t="shared" si="9"/>
        <v>4736200</v>
      </c>
      <c r="I63" s="49">
        <f>H63*1.06</f>
        <v>5020372</v>
      </c>
      <c r="J63" s="20">
        <f t="shared" si="10"/>
        <v>284172</v>
      </c>
    </row>
    <row r="64" spans="2:10" x14ac:dyDescent="0.35">
      <c r="C64" s="18">
        <v>1005</v>
      </c>
      <c r="D64" s="18" t="s">
        <v>5</v>
      </c>
      <c r="E64" s="18" t="s">
        <v>18</v>
      </c>
      <c r="F64" s="20">
        <f t="shared" si="8"/>
        <v>46665.5</v>
      </c>
      <c r="H64" s="20">
        <f t="shared" si="9"/>
        <v>699982.5</v>
      </c>
      <c r="I64" s="49">
        <f>H64*0.91</f>
        <v>636984.07500000007</v>
      </c>
      <c r="J64" s="20">
        <f t="shared" si="10"/>
        <v>-62998.42499999993</v>
      </c>
    </row>
    <row r="65" spans="2:12" x14ac:dyDescent="0.35">
      <c r="C65" s="18">
        <v>1006</v>
      </c>
      <c r="D65" s="18" t="s">
        <v>6</v>
      </c>
      <c r="E65" s="18" t="s">
        <v>18</v>
      </c>
      <c r="F65" s="20">
        <f t="shared" si="8"/>
        <v>13930</v>
      </c>
      <c r="H65" s="20">
        <f t="shared" si="9"/>
        <v>933310</v>
      </c>
      <c r="I65" s="49">
        <f>H65*0.96</f>
        <v>895977.6</v>
      </c>
      <c r="J65" s="20">
        <f t="shared" si="10"/>
        <v>-37332.400000000023</v>
      </c>
    </row>
    <row r="66" spans="2:12" x14ac:dyDescent="0.35">
      <c r="C66" s="18">
        <v>1007</v>
      </c>
      <c r="D66" s="18" t="s">
        <v>7</v>
      </c>
      <c r="E66" s="18" t="s">
        <v>18</v>
      </c>
      <c r="F66" s="20">
        <f t="shared" si="8"/>
        <v>6965</v>
      </c>
      <c r="H66" s="20">
        <f t="shared" si="9"/>
        <v>153230</v>
      </c>
      <c r="I66" s="49">
        <f>H66*0.94</f>
        <v>144036.19999999998</v>
      </c>
      <c r="J66" s="20">
        <f t="shared" si="10"/>
        <v>-9193.8000000000175</v>
      </c>
    </row>
    <row r="67" spans="2:12" x14ac:dyDescent="0.35">
      <c r="C67" s="18">
        <v>1008</v>
      </c>
      <c r="D67" s="18" t="s">
        <v>8</v>
      </c>
      <c r="E67" s="18" t="s">
        <v>18</v>
      </c>
      <c r="F67" s="20">
        <f t="shared" si="8"/>
        <v>55720</v>
      </c>
      <c r="H67" s="20">
        <f t="shared" si="9"/>
        <v>1950200</v>
      </c>
      <c r="I67" s="49">
        <f>H67*0.93</f>
        <v>1813686</v>
      </c>
      <c r="J67" s="20">
        <f t="shared" si="10"/>
        <v>-136514</v>
      </c>
    </row>
    <row r="68" spans="2:12" x14ac:dyDescent="0.35">
      <c r="C68" s="18">
        <v>1009</v>
      </c>
      <c r="D68" s="18" t="s">
        <v>9</v>
      </c>
      <c r="E68" s="18" t="s">
        <v>19</v>
      </c>
      <c r="F68" s="20">
        <f t="shared" si="8"/>
        <v>70000</v>
      </c>
      <c r="H68" s="20">
        <f t="shared" si="9"/>
        <v>1050000</v>
      </c>
      <c r="I68" s="49">
        <f>H68*0.92</f>
        <v>966000</v>
      </c>
      <c r="J68" s="20">
        <f t="shared" si="10"/>
        <v>-84000</v>
      </c>
    </row>
    <row r="69" spans="2:12" x14ac:dyDescent="0.35">
      <c r="C69" s="18">
        <v>1010</v>
      </c>
      <c r="D69" s="18" t="s">
        <v>10</v>
      </c>
      <c r="E69" s="18" t="s">
        <v>19</v>
      </c>
      <c r="F69" s="20">
        <f t="shared" si="8"/>
        <v>70000</v>
      </c>
      <c r="H69" s="20">
        <f t="shared" si="9"/>
        <v>700000</v>
      </c>
      <c r="I69" s="49">
        <f>H69*0.97</f>
        <v>679000</v>
      </c>
      <c r="J69" s="20">
        <f t="shared" si="10"/>
        <v>-21000</v>
      </c>
    </row>
    <row r="70" spans="2:12" ht="15" thickBot="1" x14ac:dyDescent="0.4">
      <c r="H70" s="34">
        <f>SUM(H60:H69)</f>
        <v>19549057.5</v>
      </c>
      <c r="I70" s="34">
        <f t="shared" ref="I70:J70" si="11">SUM(I60:I69)</f>
        <v>19748880.724999998</v>
      </c>
      <c r="J70" s="34">
        <f t="shared" si="11"/>
        <v>199823.22499999998</v>
      </c>
      <c r="L70" t="s">
        <v>256</v>
      </c>
    </row>
    <row r="71" spans="2:12" ht="15" thickTop="1" x14ac:dyDescent="0.35"/>
    <row r="74" spans="2:12" x14ac:dyDescent="0.35">
      <c r="B74" s="32" t="s">
        <v>172</v>
      </c>
      <c r="C74" s="27" t="s">
        <v>163</v>
      </c>
      <c r="D74" s="28" t="s">
        <v>206</v>
      </c>
      <c r="E74" s="28"/>
      <c r="F74" s="28" t="s">
        <v>207</v>
      </c>
      <c r="G74" s="28" t="s">
        <v>208</v>
      </c>
    </row>
    <row r="75" spans="2:12" x14ac:dyDescent="0.35">
      <c r="B75" s="18">
        <v>9001</v>
      </c>
      <c r="C75" s="18" t="s">
        <v>0</v>
      </c>
      <c r="D75" s="21">
        <f>M4</f>
        <v>127825.47614725766</v>
      </c>
      <c r="E75" s="21"/>
      <c r="F75" s="21"/>
      <c r="G75" s="21"/>
      <c r="H75" s="21"/>
    </row>
    <row r="76" spans="2:12" x14ac:dyDescent="0.35">
      <c r="B76" s="18">
        <v>9002</v>
      </c>
      <c r="C76" s="18" t="s">
        <v>166</v>
      </c>
      <c r="D76" s="21">
        <f t="shared" ref="D76:D77" si="12">M5</f>
        <v>40173.721074852423</v>
      </c>
      <c r="E76" s="21"/>
      <c r="F76" s="21"/>
      <c r="G76" s="21"/>
      <c r="H76" s="21"/>
    </row>
    <row r="77" spans="2:12" x14ac:dyDescent="0.35">
      <c r="B77" s="18">
        <v>9003</v>
      </c>
      <c r="C77" s="18" t="s">
        <v>167</v>
      </c>
      <c r="D77" s="21">
        <f t="shared" si="12"/>
        <v>82173.520380379923</v>
      </c>
      <c r="E77" s="21"/>
      <c r="F77" s="21"/>
      <c r="G77" s="21"/>
      <c r="H77" s="21"/>
    </row>
    <row r="78" spans="2:12" ht="15" thickBot="1" x14ac:dyDescent="0.4">
      <c r="B78" s="16"/>
      <c r="C78" s="16"/>
      <c r="D78" s="31">
        <f>SUM(D75:D77)</f>
        <v>250172.71760249001</v>
      </c>
      <c r="E78" s="31"/>
      <c r="F78" s="60">
        <v>273000</v>
      </c>
      <c r="G78" s="31">
        <f>F78-D78</f>
        <v>22827.282397509989</v>
      </c>
      <c r="H78" s="21"/>
    </row>
    <row r="79" spans="2:12" ht="15" thickTop="1" x14ac:dyDescent="0.35">
      <c r="C79" s="18" t="s">
        <v>212</v>
      </c>
      <c r="D79" s="20">
        <f>SUM('COSTOS (Calculo)'!G186:G194)</f>
        <v>271745.44424999994</v>
      </c>
    </row>
    <row r="80" spans="2:12" x14ac:dyDescent="0.35">
      <c r="B80" s="32" t="s">
        <v>172</v>
      </c>
      <c r="C80" s="27" t="s">
        <v>209</v>
      </c>
      <c r="D80" s="28" t="s">
        <v>206</v>
      </c>
      <c r="E80" s="28"/>
      <c r="F80" s="28" t="s">
        <v>207</v>
      </c>
      <c r="G80" s="28" t="s">
        <v>208</v>
      </c>
    </row>
    <row r="81" spans="2:7" x14ac:dyDescent="0.35">
      <c r="B81" s="18">
        <v>9001</v>
      </c>
      <c r="C81" s="18" t="s">
        <v>0</v>
      </c>
      <c r="D81" s="21">
        <f>N4</f>
        <v>43212.57598517499</v>
      </c>
      <c r="E81" s="21"/>
      <c r="F81" s="21"/>
      <c r="G81" s="21"/>
    </row>
    <row r="82" spans="2:7" x14ac:dyDescent="0.35">
      <c r="B82" s="18">
        <v>9002</v>
      </c>
      <c r="C82" s="18" t="s">
        <v>166</v>
      </c>
      <c r="D82" s="21">
        <f t="shared" ref="D82:D83" si="13">N5</f>
        <v>13581.095309626426</v>
      </c>
      <c r="E82" s="21"/>
      <c r="F82" s="21"/>
      <c r="G82" s="21"/>
    </row>
    <row r="83" spans="2:7" x14ac:dyDescent="0.35">
      <c r="B83" s="18">
        <v>9003</v>
      </c>
      <c r="C83" s="18" t="s">
        <v>167</v>
      </c>
      <c r="D83" s="21">
        <f t="shared" si="13"/>
        <v>27779.513133326782</v>
      </c>
      <c r="E83" s="21"/>
      <c r="F83" s="21"/>
      <c r="G83" s="21"/>
    </row>
    <row r="84" spans="2:7" ht="15" thickBot="1" x14ac:dyDescent="0.4">
      <c r="B84" s="16"/>
      <c r="C84" s="16"/>
      <c r="D84" s="31">
        <f>SUM(D81:D83)</f>
        <v>84573.184428128196</v>
      </c>
      <c r="E84" s="31"/>
      <c r="F84" s="60">
        <v>80500</v>
      </c>
      <c r="G84" s="31">
        <f>F84-D84</f>
        <v>-4073.1844281281956</v>
      </c>
    </row>
    <row r="85" spans="2:7" ht="15" thickTop="1" x14ac:dyDescent="0.35">
      <c r="C85" s="18" t="s">
        <v>212</v>
      </c>
      <c r="D85" s="20">
        <f>SUM('COSTOS (Calculo)'!G195:G200)</f>
        <v>90200</v>
      </c>
    </row>
    <row r="86" spans="2:7" x14ac:dyDescent="0.35">
      <c r="B86" s="32" t="s">
        <v>172</v>
      </c>
      <c r="C86" s="27" t="s">
        <v>210</v>
      </c>
      <c r="D86" s="28" t="s">
        <v>206</v>
      </c>
      <c r="E86" s="28"/>
      <c r="F86" s="28" t="s">
        <v>207</v>
      </c>
      <c r="G86" s="28" t="s">
        <v>208</v>
      </c>
    </row>
    <row r="87" spans="2:7" x14ac:dyDescent="0.35">
      <c r="B87" s="18">
        <v>9001</v>
      </c>
      <c r="C87" s="18" t="s">
        <v>0</v>
      </c>
      <c r="D87" s="21">
        <f>O4</f>
        <v>95938.657055293967</v>
      </c>
      <c r="E87" s="21"/>
      <c r="F87" s="21"/>
      <c r="G87" s="21"/>
    </row>
    <row r="88" spans="2:7" x14ac:dyDescent="0.35">
      <c r="B88" s="18">
        <v>9002</v>
      </c>
      <c r="C88" s="18" t="s">
        <v>166</v>
      </c>
      <c r="D88" s="21">
        <f t="shared" ref="D88:D89" si="14">O5</f>
        <v>30152.149360235246</v>
      </c>
      <c r="E88" s="21"/>
      <c r="F88" s="21"/>
      <c r="G88" s="21"/>
    </row>
    <row r="89" spans="2:7" x14ac:dyDescent="0.35">
      <c r="B89" s="18">
        <v>9003</v>
      </c>
      <c r="C89" s="18" t="s">
        <v>167</v>
      </c>
      <c r="D89" s="21">
        <f t="shared" si="14"/>
        <v>61674.850964117548</v>
      </c>
      <c r="E89" s="21"/>
      <c r="F89" s="21"/>
      <c r="G89" s="21"/>
    </row>
    <row r="90" spans="2:7" ht="15" thickBot="1" x14ac:dyDescent="0.4">
      <c r="B90" s="16"/>
      <c r="C90" s="16"/>
      <c r="D90" s="31">
        <f>SUM(D87:D89)</f>
        <v>187765.65737964676</v>
      </c>
      <c r="E90" s="31"/>
      <c r="F90" s="60">
        <v>205000</v>
      </c>
      <c r="G90" s="31">
        <f>F90-D90</f>
        <v>17234.342620353244</v>
      </c>
    </row>
    <row r="91" spans="2:7" ht="15" thickTop="1" x14ac:dyDescent="0.35">
      <c r="C91" s="18" t="s">
        <v>212</v>
      </c>
      <c r="D91" s="20">
        <f>SUM('COSTOS (Calculo)'!G201:G213)</f>
        <v>200148.97838709675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7F38F-DF82-493E-99FA-400D9805B711}">
  <dimension ref="B2:Y14"/>
  <sheetViews>
    <sheetView workbookViewId="0">
      <selection activeCell="D13" sqref="D13"/>
    </sheetView>
  </sheetViews>
  <sheetFormatPr baseColWidth="10" defaultRowHeight="14.5" x14ac:dyDescent="0.35"/>
  <cols>
    <col min="3" max="3" width="15.7265625" customWidth="1"/>
    <col min="4" max="4" width="18.08984375" bestFit="1" customWidth="1"/>
    <col min="5" max="5" width="9.26953125" customWidth="1"/>
    <col min="6" max="6" width="12.36328125" style="18" bestFit="1" customWidth="1"/>
    <col min="7" max="7" width="13" style="18" customWidth="1"/>
    <col min="8" max="8" width="12.36328125" style="18" bestFit="1" customWidth="1"/>
    <col min="9" max="9" width="1.453125" style="18" customWidth="1"/>
    <col min="10" max="10" width="10.90625" style="18"/>
    <col min="11" max="11" width="2.90625" style="18" customWidth="1"/>
    <col min="12" max="13" width="10.90625" style="18"/>
    <col min="14" max="14" width="2" style="18" customWidth="1"/>
    <col min="15" max="15" width="12.36328125" style="18" bestFit="1" customWidth="1"/>
    <col min="16" max="16" width="12.36328125" style="18" customWidth="1"/>
    <col min="17" max="17" width="1.6328125" style="18" customWidth="1"/>
    <col min="18" max="18" width="11.453125" style="18" bestFit="1" customWidth="1"/>
    <col min="19" max="19" width="11" style="18" bestFit="1" customWidth="1"/>
    <col min="20" max="20" width="11" style="18" customWidth="1"/>
    <col min="22" max="25" width="10.90625" style="18"/>
  </cols>
  <sheetData>
    <row r="2" spans="2:20" x14ac:dyDescent="0.35">
      <c r="B2" s="27" t="s">
        <v>193</v>
      </c>
      <c r="C2" s="28"/>
      <c r="D2" s="28"/>
    </row>
    <row r="3" spans="2:20" x14ac:dyDescent="0.35">
      <c r="B3" s="18" t="s">
        <v>172</v>
      </c>
      <c r="C3" s="18" t="s">
        <v>171</v>
      </c>
      <c r="D3" s="18" t="s">
        <v>103</v>
      </c>
      <c r="E3" s="18" t="s">
        <v>217</v>
      </c>
      <c r="F3" s="18" t="s">
        <v>218</v>
      </c>
      <c r="G3" s="18" t="s">
        <v>219</v>
      </c>
      <c r="H3" s="18" t="s">
        <v>220</v>
      </c>
      <c r="L3" s="18" t="s">
        <v>239</v>
      </c>
      <c r="M3" s="18" t="s">
        <v>214</v>
      </c>
      <c r="O3" s="18" t="s">
        <v>240</v>
      </c>
      <c r="P3" s="18" t="s">
        <v>214</v>
      </c>
      <c r="R3" s="18" t="s">
        <v>257</v>
      </c>
      <c r="S3" s="18" t="s">
        <v>258</v>
      </c>
    </row>
    <row r="4" spans="2:20" x14ac:dyDescent="0.35">
      <c r="B4" s="18">
        <v>9001</v>
      </c>
      <c r="C4" s="18" t="s">
        <v>0</v>
      </c>
      <c r="D4" s="48">
        <v>35000</v>
      </c>
      <c r="E4" s="21">
        <f>VENTAS!L4</f>
        <v>403.44906836750908</v>
      </c>
      <c r="F4" s="21">
        <f>D4*E4</f>
        <v>14120717.392862817</v>
      </c>
      <c r="G4" s="49">
        <f>F4*2%</f>
        <v>282414.34785725636</v>
      </c>
      <c r="H4" s="20">
        <f>F4-G4</f>
        <v>13838303.045005562</v>
      </c>
      <c r="J4" s="21">
        <f>H4/D4</f>
        <v>395.38008700015888</v>
      </c>
      <c r="L4" s="20">
        <f>VENTAS!D12</f>
        <v>25000</v>
      </c>
      <c r="M4" s="20">
        <f>D4-L4</f>
        <v>10000</v>
      </c>
      <c r="N4" s="20"/>
      <c r="O4" s="20">
        <f>VENTAS!D20</f>
        <v>10086226.709187727</v>
      </c>
      <c r="P4" s="20">
        <f>H4-O4</f>
        <v>3752076.3358178344</v>
      </c>
      <c r="Q4" s="20"/>
      <c r="R4" s="21">
        <f>M4*E4</f>
        <v>4034490.6836750908</v>
      </c>
      <c r="S4" s="21">
        <f>(J4-E4)*D4</f>
        <v>-282414.34785725718</v>
      </c>
      <c r="T4" s="21"/>
    </row>
    <row r="5" spans="2:20" x14ac:dyDescent="0.35">
      <c r="B5" s="18">
        <v>9002</v>
      </c>
      <c r="C5" s="18" t="s">
        <v>166</v>
      </c>
      <c r="D5" s="48">
        <v>10000</v>
      </c>
      <c r="E5" s="21">
        <f>VENTAS!L5</f>
        <v>347.27377520426001</v>
      </c>
      <c r="F5" s="21">
        <f t="shared" ref="F5:F6" si="0">D5*E5</f>
        <v>3472737.7520426</v>
      </c>
      <c r="G5" s="20"/>
      <c r="H5" s="20">
        <f t="shared" ref="H5:H6" si="1">F5-G5</f>
        <v>3472737.7520426</v>
      </c>
      <c r="J5" s="21">
        <f t="shared" ref="J5:J6" si="2">H5/D5</f>
        <v>347.27377520426001</v>
      </c>
      <c r="L5" s="20">
        <f>VENTAS!D13</f>
        <v>30000</v>
      </c>
      <c r="M5" s="20">
        <f>D5-L5</f>
        <v>-20000</v>
      </c>
      <c r="N5" s="20"/>
      <c r="O5" s="20">
        <f>VENTAS!D21</f>
        <v>10418213.256127801</v>
      </c>
      <c r="P5" s="20">
        <f t="shared" ref="P5:P6" si="3">H5-O5</f>
        <v>-6945475.5040852008</v>
      </c>
      <c r="Q5" s="20"/>
      <c r="R5" s="21">
        <f t="shared" ref="R5:R6" si="4">M5*E5</f>
        <v>-6945475.5040851999</v>
      </c>
      <c r="S5" s="21">
        <f t="shared" ref="S5:S6" si="5">(J5-E5)*D5</f>
        <v>0</v>
      </c>
    </row>
    <row r="6" spans="2:20" x14ac:dyDescent="0.35">
      <c r="B6" s="18">
        <v>9003</v>
      </c>
      <c r="C6" s="18" t="s">
        <v>167</v>
      </c>
      <c r="D6" s="48">
        <v>25000</v>
      </c>
      <c r="E6" s="21">
        <f>VENTAS!L6</f>
        <v>420.26966153075801</v>
      </c>
      <c r="F6" s="21">
        <f t="shared" si="0"/>
        <v>10506741.53826895</v>
      </c>
      <c r="G6" s="20"/>
      <c r="H6" s="20">
        <f t="shared" si="1"/>
        <v>10506741.53826895</v>
      </c>
      <c r="J6" s="21">
        <f t="shared" si="2"/>
        <v>420.26966153075801</v>
      </c>
      <c r="L6" s="20">
        <f>VENTAS!D14</f>
        <v>20000</v>
      </c>
      <c r="M6" s="20">
        <f>D6-L6</f>
        <v>5000</v>
      </c>
      <c r="N6" s="20"/>
      <c r="O6" s="20">
        <f>VENTAS!D22</f>
        <v>8405393.2306151595</v>
      </c>
      <c r="P6" s="20">
        <f t="shared" si="3"/>
        <v>2101348.3076537903</v>
      </c>
      <c r="Q6" s="20"/>
      <c r="R6" s="21">
        <f t="shared" si="4"/>
        <v>2101348.3076537899</v>
      </c>
      <c r="S6" s="21">
        <f t="shared" si="5"/>
        <v>0</v>
      </c>
    </row>
    <row r="7" spans="2:20" ht="15" thickBot="1" x14ac:dyDescent="0.4">
      <c r="B7" s="33"/>
      <c r="C7" s="33"/>
      <c r="D7" s="31">
        <f>SUM(D4:D6)</f>
        <v>70000</v>
      </c>
      <c r="E7" s="21"/>
      <c r="F7" s="31">
        <f>SUM(F4:F6)</f>
        <v>28100196.683174368</v>
      </c>
      <c r="G7" s="31">
        <f t="shared" ref="G7:H7" si="6">SUM(G4:G6)</f>
        <v>282414.34785725636</v>
      </c>
      <c r="H7" s="31">
        <f t="shared" si="6"/>
        <v>27817782.335317113</v>
      </c>
      <c r="L7" s="20">
        <f>SUM(L4:L6)</f>
        <v>75000</v>
      </c>
      <c r="M7" s="20">
        <f>SUM(M4:M6)</f>
        <v>-5000</v>
      </c>
      <c r="N7" s="20"/>
      <c r="O7" s="20">
        <f>SUM(O4:O6)</f>
        <v>28909833.19593069</v>
      </c>
      <c r="P7" s="20">
        <f>SUM(P4:P6)</f>
        <v>-1092050.8606135761</v>
      </c>
      <c r="Q7" s="20"/>
      <c r="R7" s="20">
        <f>SUM(R4:R6)</f>
        <v>-809636.51275631925</v>
      </c>
      <c r="S7" s="20">
        <f>SUM(S4:S6)</f>
        <v>-282414.34785725718</v>
      </c>
    </row>
    <row r="8" spans="2:20" ht="15" thickTop="1" x14ac:dyDescent="0.35">
      <c r="C8" s="18" t="s">
        <v>211</v>
      </c>
      <c r="D8" s="20">
        <f>'VALUACION PROD (Calculo)'!E10</f>
        <v>75000</v>
      </c>
      <c r="O8" s="20"/>
    </row>
    <row r="11" spans="2:20" x14ac:dyDescent="0.35">
      <c r="B11" s="18" t="s">
        <v>237</v>
      </c>
      <c r="D11" s="21">
        <f>R7</f>
        <v>-809636.51275631925</v>
      </c>
    </row>
    <row r="12" spans="2:20" x14ac:dyDescent="0.35">
      <c r="B12" s="18" t="s">
        <v>238</v>
      </c>
      <c r="D12" s="21">
        <f>S7</f>
        <v>-282414.34785725718</v>
      </c>
    </row>
    <row r="13" spans="2:20" ht="15" thickBot="1" x14ac:dyDescent="0.4">
      <c r="B13" s="33" t="s">
        <v>241</v>
      </c>
      <c r="C13" s="16"/>
      <c r="D13" s="31">
        <f>SUM(D11:D12)</f>
        <v>-1092050.8606135764</v>
      </c>
    </row>
    <row r="14" spans="2:20" ht="15" thickTop="1" x14ac:dyDescent="0.35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22EBD-4921-48F1-A5B9-8E73AC325AFC}">
  <dimension ref="B2:F24"/>
  <sheetViews>
    <sheetView workbookViewId="0">
      <selection activeCell="H14" sqref="H14"/>
    </sheetView>
  </sheetViews>
  <sheetFormatPr baseColWidth="10" defaultRowHeight="13" x14ac:dyDescent="0.3"/>
  <cols>
    <col min="1" max="1" width="3.6328125" style="18" customWidth="1"/>
    <col min="2" max="2" width="18.7265625" style="18" bestFit="1" customWidth="1"/>
    <col min="3" max="3" width="13.6328125" style="18" bestFit="1" customWidth="1"/>
    <col min="4" max="5" width="12.36328125" style="18" bestFit="1" customWidth="1"/>
    <col min="6" max="16384" width="10.90625" style="18"/>
  </cols>
  <sheetData>
    <row r="2" spans="2:6" x14ac:dyDescent="0.3">
      <c r="C2" s="47" t="s">
        <v>103</v>
      </c>
      <c r="D2" s="47"/>
      <c r="E2" s="47"/>
    </row>
    <row r="3" spans="2:6" x14ac:dyDescent="0.3">
      <c r="C3" s="42" t="s">
        <v>242</v>
      </c>
      <c r="D3" s="42" t="s">
        <v>207</v>
      </c>
      <c r="E3" s="42" t="s">
        <v>214</v>
      </c>
    </row>
    <row r="4" spans="2:6" x14ac:dyDescent="0.3">
      <c r="B4" s="18" t="s">
        <v>194</v>
      </c>
      <c r="C4" s="20">
        <f>VENTAS!D23</f>
        <v>28909833.19593069</v>
      </c>
      <c r="D4" s="20">
        <f>'VENTA REAL'!F7</f>
        <v>28100196.683174368</v>
      </c>
      <c r="E4" s="20">
        <f>D4-C4</f>
        <v>-809636.51275632158</v>
      </c>
    </row>
    <row r="5" spans="2:6" x14ac:dyDescent="0.3">
      <c r="B5" s="18" t="s">
        <v>227</v>
      </c>
      <c r="C5" s="20">
        <v>0</v>
      </c>
      <c r="D5" s="20">
        <f>'VENTA REAL'!G7</f>
        <v>282414.34785725636</v>
      </c>
      <c r="E5" s="20">
        <f>D5-C5</f>
        <v>282414.34785725636</v>
      </c>
    </row>
    <row r="6" spans="2:6" x14ac:dyDescent="0.3">
      <c r="B6" s="18" t="s">
        <v>220</v>
      </c>
      <c r="C6" s="20">
        <f>C4-C5</f>
        <v>28909833.19593069</v>
      </c>
      <c r="D6" s="20">
        <f t="shared" ref="D6:E6" si="0">D4-D5</f>
        <v>27817782.335317113</v>
      </c>
      <c r="E6" s="20">
        <f t="shared" si="0"/>
        <v>-1092050.860613578</v>
      </c>
    </row>
    <row r="8" spans="2:6" x14ac:dyDescent="0.3">
      <c r="B8" s="18" t="s">
        <v>195</v>
      </c>
      <c r="C8" s="20">
        <f>'VALUACION PROD (Calculo)'!E16</f>
        <v>20649880.854236208</v>
      </c>
      <c r="D8" s="20">
        <f>'VALUACION PROD (Calculo)'!F16</f>
        <v>19061428.480833422</v>
      </c>
      <c r="E8" s="20">
        <f t="shared" ref="E8:E14" si="1">D8-C8</f>
        <v>-1588452.3734027855</v>
      </c>
    </row>
    <row r="9" spans="2:6" x14ac:dyDescent="0.3">
      <c r="B9" s="18" t="s">
        <v>196</v>
      </c>
      <c r="C9" s="20"/>
      <c r="D9" s="20"/>
      <c r="E9" s="20"/>
    </row>
    <row r="10" spans="2:6" x14ac:dyDescent="0.3">
      <c r="B10" s="18" t="s">
        <v>221</v>
      </c>
      <c r="C10" s="20">
        <v>0</v>
      </c>
      <c r="D10" s="20">
        <f>COMPRAS!M29</f>
        <v>338163</v>
      </c>
      <c r="E10" s="20">
        <f t="shared" si="1"/>
        <v>338163</v>
      </c>
    </row>
    <row r="11" spans="2:6" x14ac:dyDescent="0.3">
      <c r="B11" s="18" t="s">
        <v>222</v>
      </c>
      <c r="C11" s="20">
        <v>0</v>
      </c>
      <c r="D11" s="20">
        <f>'PROD REAL'!J70</f>
        <v>199823.22499999998</v>
      </c>
      <c r="E11" s="20">
        <f t="shared" si="1"/>
        <v>199823.22499999998</v>
      </c>
    </row>
    <row r="12" spans="2:6" x14ac:dyDescent="0.3">
      <c r="B12" s="18" t="s">
        <v>223</v>
      </c>
      <c r="C12" s="20">
        <f>'COSTOS (Calculo)'!G335</f>
        <v>-5818.4468126167194</v>
      </c>
      <c r="D12" s="20">
        <f>'PROD REAL'!G78</f>
        <v>22827.282397509989</v>
      </c>
      <c r="E12" s="20">
        <f t="shared" si="1"/>
        <v>28645.729210126708</v>
      </c>
    </row>
    <row r="13" spans="2:6" x14ac:dyDescent="0.3">
      <c r="B13" s="18" t="s">
        <v>224</v>
      </c>
      <c r="C13" s="20">
        <f>'COSTOS (Calculo)'!G339</f>
        <v>-3633.0221392371313</v>
      </c>
      <c r="D13" s="20">
        <f>'PROD REAL'!G84</f>
        <v>-4073.1844281281956</v>
      </c>
      <c r="E13" s="20">
        <f t="shared" si="1"/>
        <v>-440.16228889106424</v>
      </c>
    </row>
    <row r="14" spans="2:6" x14ac:dyDescent="0.3">
      <c r="B14" s="18" t="s">
        <v>225</v>
      </c>
      <c r="C14" s="20">
        <f>'COSTOS (Calculo)'!G343</f>
        <v>-8174.9626472558593</v>
      </c>
      <c r="D14" s="20">
        <f>'PROD REAL'!G90</f>
        <v>17234.342620353244</v>
      </c>
      <c r="E14" s="20">
        <f t="shared" si="1"/>
        <v>25409.305267609103</v>
      </c>
    </row>
    <row r="15" spans="2:6" x14ac:dyDescent="0.3">
      <c r="C15" s="20"/>
      <c r="D15" s="20"/>
      <c r="E15" s="20"/>
    </row>
    <row r="16" spans="2:6" x14ac:dyDescent="0.3">
      <c r="B16" s="18" t="s">
        <v>186</v>
      </c>
      <c r="C16" s="20">
        <f>SUM(C8:C15)</f>
        <v>20632254.422637098</v>
      </c>
      <c r="D16" s="20">
        <f>SUM(D8:D15)</f>
        <v>19635403.146423157</v>
      </c>
      <c r="E16" s="20">
        <f>SUM(E8:E15)</f>
        <v>-996851.2762139407</v>
      </c>
      <c r="F16" s="20"/>
    </row>
    <row r="18" spans="2:5" x14ac:dyDescent="0.3">
      <c r="B18" s="18" t="s">
        <v>200</v>
      </c>
      <c r="C18" s="20">
        <f>C4-C16</f>
        <v>8277578.773293592</v>
      </c>
      <c r="D18" s="20">
        <f>D6-D16</f>
        <v>8182379.1888939552</v>
      </c>
      <c r="E18" s="20">
        <f t="shared" ref="E18" si="2">D18-C18</f>
        <v>-95199.584399636835</v>
      </c>
    </row>
    <row r="19" spans="2:5" x14ac:dyDescent="0.3">
      <c r="C19" s="29">
        <f>C18/C4</f>
        <v>0.28632398939121978</v>
      </c>
      <c r="D19" s="29">
        <f>D18/D4</f>
        <v>0.2911858333644099</v>
      </c>
      <c r="E19" s="29">
        <f>D19-C19</f>
        <v>4.8618439731901164E-3</v>
      </c>
    </row>
    <row r="21" spans="2:5" x14ac:dyDescent="0.3">
      <c r="B21" s="18" t="s">
        <v>201</v>
      </c>
      <c r="C21" s="20">
        <f>C8*0.12</f>
        <v>2477985.7025083448</v>
      </c>
      <c r="D21" s="20">
        <f>D8*0.15</f>
        <v>2859214.2721250132</v>
      </c>
      <c r="E21" s="20">
        <f t="shared" ref="E21" si="3">D21-C21</f>
        <v>381228.56961666839</v>
      </c>
    </row>
    <row r="23" spans="2:5" x14ac:dyDescent="0.3">
      <c r="B23" s="18" t="s">
        <v>202</v>
      </c>
      <c r="C23" s="20">
        <f>C18-C21</f>
        <v>5799593.0707852468</v>
      </c>
      <c r="D23" s="20">
        <f t="shared" ref="D23:E23" si="4">D18-D21</f>
        <v>5323164.916768942</v>
      </c>
      <c r="E23" s="20">
        <f t="shared" si="4"/>
        <v>-476428.15401630523</v>
      </c>
    </row>
    <row r="24" spans="2:5" x14ac:dyDescent="0.3">
      <c r="C24" s="29">
        <f>C23/C4</f>
        <v>0.20060970367693404</v>
      </c>
      <c r="D24" s="29">
        <f>D23/D4</f>
        <v>0.18943514797376163</v>
      </c>
      <c r="E24" s="29">
        <f>D24-C24</f>
        <v>-1.1174555703172412E-2</v>
      </c>
    </row>
  </sheetData>
  <mergeCells count="1">
    <mergeCell ref="C2:E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CDA2-AD61-4DCF-ABCE-A11CB2D641E7}">
  <dimension ref="A3:K21"/>
  <sheetViews>
    <sheetView workbookViewId="0">
      <selection activeCell="B12" sqref="B12"/>
    </sheetView>
  </sheetViews>
  <sheetFormatPr baseColWidth="10" defaultRowHeight="14.5" x14ac:dyDescent="0.35"/>
  <cols>
    <col min="2" max="2" width="16.26953125" customWidth="1"/>
    <col min="3" max="3" width="3.08984375" customWidth="1"/>
    <col min="5" max="5" width="1.7265625" customWidth="1"/>
    <col min="6" max="6" width="14.26953125" bestFit="1" customWidth="1"/>
    <col min="7" max="7" width="2.08984375" customWidth="1"/>
    <col min="8" max="8" width="14.6328125" customWidth="1"/>
    <col min="9" max="9" width="1.453125" customWidth="1"/>
    <col min="10" max="10" width="18.1796875" customWidth="1"/>
  </cols>
  <sheetData>
    <row r="3" spans="1:11" x14ac:dyDescent="0.35">
      <c r="A3" t="s">
        <v>27</v>
      </c>
    </row>
    <row r="5" spans="1:11" x14ac:dyDescent="0.35">
      <c r="B5" s="1" t="s">
        <v>28</v>
      </c>
      <c r="C5" s="1"/>
      <c r="D5" s="1" t="s">
        <v>32</v>
      </c>
      <c r="E5" s="1"/>
      <c r="F5" s="1" t="s">
        <v>36</v>
      </c>
      <c r="G5" s="1"/>
      <c r="H5" s="1" t="s">
        <v>39</v>
      </c>
      <c r="I5" s="1"/>
      <c r="J5" s="1" t="s">
        <v>44</v>
      </c>
      <c r="K5" s="1"/>
    </row>
    <row r="7" spans="1:11" x14ac:dyDescent="0.35">
      <c r="B7" t="s">
        <v>29</v>
      </c>
      <c r="D7" t="s">
        <v>33</v>
      </c>
      <c r="F7" t="s">
        <v>34</v>
      </c>
      <c r="H7" t="s">
        <v>48</v>
      </c>
      <c r="J7" t="s">
        <v>243</v>
      </c>
    </row>
    <row r="8" spans="1:11" x14ac:dyDescent="0.35">
      <c r="B8" t="s">
        <v>30</v>
      </c>
      <c r="F8" t="s">
        <v>35</v>
      </c>
      <c r="H8" t="s">
        <v>40</v>
      </c>
      <c r="J8" t="s">
        <v>45</v>
      </c>
    </row>
    <row r="9" spans="1:11" x14ac:dyDescent="0.35">
      <c r="B9" t="s">
        <v>31</v>
      </c>
      <c r="F9" t="s">
        <v>37</v>
      </c>
      <c r="H9" t="s">
        <v>43</v>
      </c>
    </row>
    <row r="10" spans="1:11" x14ac:dyDescent="0.35">
      <c r="F10" t="s">
        <v>38</v>
      </c>
      <c r="H10" t="s">
        <v>41</v>
      </c>
      <c r="J10" t="s">
        <v>244</v>
      </c>
    </row>
    <row r="11" spans="1:11" x14ac:dyDescent="0.35">
      <c r="H11" t="s">
        <v>42</v>
      </c>
      <c r="J11" t="s">
        <v>246</v>
      </c>
    </row>
    <row r="12" spans="1:11" x14ac:dyDescent="0.35">
      <c r="J12" t="s">
        <v>245</v>
      </c>
    </row>
    <row r="14" spans="1:11" x14ac:dyDescent="0.35">
      <c r="B14" s="41" t="s">
        <v>248</v>
      </c>
    </row>
    <row r="15" spans="1:11" x14ac:dyDescent="0.35">
      <c r="B15" s="41" t="s">
        <v>249</v>
      </c>
    </row>
    <row r="16" spans="1:11" x14ac:dyDescent="0.35">
      <c r="B16" s="41"/>
    </row>
    <row r="17" spans="2:2" x14ac:dyDescent="0.35">
      <c r="B17" s="41" t="s">
        <v>250</v>
      </c>
    </row>
    <row r="18" spans="2:2" x14ac:dyDescent="0.35">
      <c r="B18" s="41" t="s">
        <v>247</v>
      </c>
    </row>
    <row r="19" spans="2:2" x14ac:dyDescent="0.35">
      <c r="B19" s="41" t="s">
        <v>251</v>
      </c>
    </row>
    <row r="21" spans="2:2" x14ac:dyDescent="0.35">
      <c r="B21" s="41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INGENIERIA</vt:lpstr>
      <vt:lpstr>COMPRAS</vt:lpstr>
      <vt:lpstr>REC HUMANOS</vt:lpstr>
      <vt:lpstr>CONTABILIDAD &amp; COSTOS</vt:lpstr>
      <vt:lpstr>COSTOS (Calculo)</vt:lpstr>
      <vt:lpstr>CUOTA x MIN (Calculo)</vt:lpstr>
      <vt:lpstr>HOJAS COSTEO (calculo)</vt:lpstr>
      <vt:lpstr>VALUACION PROD (Calculo)</vt:lpstr>
      <vt:lpstr>VENTAS</vt:lpstr>
      <vt:lpstr>P&amp;L FCTS</vt:lpstr>
      <vt:lpstr>PROD REAL</vt:lpstr>
      <vt:lpstr>VENTA REAL</vt:lpstr>
      <vt:lpstr>P&amp;L REAL</vt:lpstr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Eulalio Hernandez Leon</dc:creator>
  <cp:lastModifiedBy>Eulalio Hernandez Leon</cp:lastModifiedBy>
  <dcterms:created xsi:type="dcterms:W3CDTF">2026-04-28T17:50:22Z</dcterms:created>
  <dcterms:modified xsi:type="dcterms:W3CDTF">2026-04-29T21:53:11Z</dcterms:modified>
</cp:coreProperties>
</file>